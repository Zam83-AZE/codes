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Cash ABC+ACZ" sheetId="1" state="visible" r:id="rId3"/>
    <sheet name="Cash Cuzdan Wallet" sheetId="2" state="visible" r:id="rId4"/>
    <sheet name="RShop EMB" sheetId="3" state="visible" r:id="rId5"/>
    <sheet name="RShop  Qeyri-EMB" sheetId="4" state="visible" r:id="rId6"/>
    <sheet name="PayDay WPD" sheetId="5" state="visible" r:id="rId7"/>
    <sheet name="PayDay WCL" sheetId="6" state="visible" r:id="rId8"/>
    <sheet name="Lookups111" sheetId="7" state="hidden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<sst xmlns="http://schemas.openxmlformats.org/spreadsheetml/2006/main" count="1503" uniqueCount="249">
  <si>
    <t xml:space="preserve">ABC + ACZ</t>
  </si>
  <si>
    <t xml:space="preserve">RCASH ÜÇÜN KƏSİM QAYDALARI</t>
  </si>
  <si>
    <t xml:space="preserve">Qayda №</t>
  </si>
  <si>
    <t xml:space="preserve">Qərar</t>
  </si>
  <si>
    <t xml:space="preserve">Qaydanın Təsviri</t>
  </si>
  <si>
    <t xml:space="preserve">Limitlər</t>
  </si>
  <si>
    <t xml:space="preserve">Parametrlər</t>
  </si>
  <si>
    <t xml:space="preserve">İmtina Səbəbi (ID və Mətn)</t>
  </si>
  <si>
    <t xml:space="preserve">X gündən sonra kredit üçün müraciət edə bilər</t>
  </si>
  <si>
    <t xml:space="preserve">Prioritet</t>
  </si>
  <si>
    <t xml:space="preserve">Prioritet 1. Loan Workbench (LW) - Müştərinin Daxili LV sistemində yoxlanması</t>
  </si>
  <si>
    <t xml:space="preserve">Qerar Sutunu</t>
  </si>
  <si>
    <t xml:space="preserve">Kesim Noqtesi</t>
  </si>
  <si>
    <t xml:space="preserve">Ekspert Penceresi</t>
  </si>
  <si>
    <t xml:space="preserve">R_1010</t>
  </si>
  <si>
    <t xml:space="preserve">QƏBUL</t>
  </si>
  <si>
    <t xml:space="preserve">Müştəri qara siyahıdadır</t>
  </si>
  <si>
    <t xml:space="preserve">REJECT</t>
  </si>
  <si>
    <t xml:space="preserve">Var</t>
  </si>
  <si>
    <t xml:space="preserve">  Bu halda Skoring Sistemi Musteriye Imtina Verib. Istinsna Hallari Nezere alinaraq ekspertin qarsisina cixarilir.</t>
  </si>
  <si>
    <t xml:space="preserve">Qara siyahi</t>
  </si>
  <si>
    <t xml:space="preserve">010</t>
  </si>
  <si>
    <t xml:space="preserve">R_1020</t>
  </si>
  <si>
    <t xml:space="preserve">Gəlir kifayət etmir</t>
  </si>
  <si>
    <t xml:space="preserve">Gelir kifayet etmir</t>
  </si>
  <si>
    <t xml:space="preserve">005</t>
  </si>
  <si>
    <t xml:space="preserve">R_1030</t>
  </si>
  <si>
    <t xml:space="preserve">Mənfi kredit tarixçəsi</t>
  </si>
  <si>
    <t xml:space="preserve">Menfi kredit tarixcesi</t>
  </si>
  <si>
    <t xml:space="preserve">020</t>
  </si>
  <si>
    <t xml:space="preserve">R_1040</t>
  </si>
  <si>
    <t xml:space="preserve">Ailə üzvlərində mənfi tarixçə</t>
  </si>
  <si>
    <t xml:space="preserve">Aile uzvlerinin menfi tarixcesi</t>
  </si>
  <si>
    <t xml:space="preserve">030</t>
  </si>
  <si>
    <t xml:space="preserve">R_1050</t>
  </si>
  <si>
    <t xml:space="preserve">Yanlış məlumat</t>
  </si>
  <si>
    <t xml:space="preserve">Yalan melumat</t>
  </si>
  <si>
    <t xml:space="preserve">070</t>
  </si>
  <si>
    <t xml:space="preserve">R_1060</t>
  </si>
  <si>
    <t xml:space="preserve">Borc yükü yüksəkdir</t>
  </si>
  <si>
    <t xml:space="preserve">Borc yukluliyu coxdur</t>
  </si>
  <si>
    <t xml:space="preserve">080</t>
  </si>
  <si>
    <t xml:space="preserve">R_1070</t>
  </si>
  <si>
    <t xml:space="preserve">İş stajı azdır</t>
  </si>
  <si>
    <t xml:space="preserve">Emek staji azdir</t>
  </si>
  <si>
    <t xml:space="preserve">110</t>
  </si>
  <si>
    <t xml:space="preserve">R_1080</t>
  </si>
  <si>
    <t xml:space="preserve">Kobud rəftar</t>
  </si>
  <si>
    <t xml:space="preserve">Kobud reftar</t>
  </si>
  <si>
    <t xml:space="preserve">120</t>
  </si>
  <si>
    <t xml:space="preserve">R_1090</t>
  </si>
  <si>
    <t xml:space="preserve">Embafinansda aktiv nağd kreditinin ən azı yarı müddəti keçməmişdir</t>
  </si>
  <si>
    <t xml:space="preserve">Aktiv nagd kredit&lt;50%</t>
  </si>
  <si>
    <t xml:space="preserve">300</t>
  </si>
  <si>
    <t xml:space="preserve">R_1100</t>
  </si>
  <si>
    <t xml:space="preserve">OnePoint platformasında aktiv kreditləri mövcuddur</t>
  </si>
  <si>
    <t xml:space="preserve">Aktiv one point kredit</t>
  </si>
  <si>
    <t xml:space="preserve">310</t>
  </si>
  <si>
    <t xml:space="preserve">R_1110</t>
  </si>
  <si>
    <t xml:space="preserve">Embafinansda cari gecikməsi mövcuddur</t>
  </si>
  <si>
    <t xml:space="preserve">Cari gecikme</t>
  </si>
  <si>
    <t xml:space="preserve">320</t>
  </si>
  <si>
    <t xml:space="preserve">Prioritet 2: Asanfinans Şəxsi Məlumatlar</t>
  </si>
  <si>
    <t xml:space="preserve">R_2010</t>
  </si>
  <si>
    <t xml:space="preserve">Yaş həddi</t>
  </si>
  <si>
    <t xml:space="preserve">Min.</t>
  </si>
  <si>
    <t xml:space="preserve">Yoxdur</t>
  </si>
  <si>
    <t xml:space="preserve">050</t>
  </si>
  <si>
    <t xml:space="preserve">Maks.</t>
  </si>
  <si>
    <t xml:space="preserve">Prioritet 3: AKB Skor Servisi</t>
  </si>
  <si>
    <t xml:space="preserve">AB: Şəxsin cari dövr üzrə aktiv öhdəliyində yüksək gecikmə günləri mövcuddur
</t>
  </si>
  <si>
    <t xml:space="preserve">AB: Şəxsin cari dövr üzrə aktiv öhdəliyində yüksək gecikmə günləri mövcuddur</t>
  </si>
  <si>
    <t xml:space="preserve">TY – Şəxsin yaşı 16-dan kiçikdir</t>
  </si>
  <si>
    <t xml:space="preserve">NU – Şəxsin yenilənməmiş aktiv kreditləri mövcuddur</t>
  </si>
  <si>
    <t xml:space="preserve">LP – Hüquqi şəxslərə skorların verilməsi nəzərdə tutulmamışdır</t>
  </si>
  <si>
    <t xml:space="preserve">MAYBE</t>
  </si>
  <si>
    <t xml:space="preserve">LP:Hüquqi şəxslərə skorların verilməsi nəzərdə tutulmamışdır. Manual analiz tələb edir</t>
  </si>
  <si>
    <t xml:space="preserve">CC – Şəxsin son 12 ay ərzində aktiv öhdəliyi mövcud olmamışdır</t>
  </si>
  <si>
    <t xml:space="preserve">CC: Şəxsin son 12 ay ərzində aktiv öhdəliyi mövcud olmamışdır.Manual Analiz Teleb Edir</t>
  </si>
  <si>
    <t xml:space="preserve">TN – Şəxs qiymətləndirmə üçün çox yenidir</t>
  </si>
  <si>
    <t xml:space="preserve">TN:Şəxs qiymətləndirmə üçün çox yenidir. Manual Analiz Teleb Edir</t>
  </si>
  <si>
    <t xml:space="preserve">NC – Şəxsin hər hansı kredit öhdəliyi mövcud deyil</t>
  </si>
  <si>
    <t xml:space="preserve">NC:Şəxsin hər hansı kredit öhdəliyi mövcud deyil. Manual Analiz Teleb Edir.</t>
  </si>
  <si>
    <t xml:space="preserve">NI: Qeyri Mueyyen Sexs
</t>
  </si>
  <si>
    <t xml:space="preserve">NI: Qeyri Mueyyen Sexs. Manual Analiz Teleb Edir.</t>
  </si>
  <si>
    <t xml:space="preserve">AKB Skor Servisi + Vesiqe Melumati uzre yekun bal
1-199 bal
</t>
  </si>
  <si>
    <t xml:space="preserve">AKB Skor Servisi + Vesiqe Melumati uzre yekun bal
200-750</t>
  </si>
  <si>
    <t xml:space="preserve">Bu halda ekspert manual analiz edir.</t>
  </si>
  <si>
    <t xml:space="preserve">AKB Skor Servisi + Vesiqe Melumati uzre yekun bal
751-1000
</t>
  </si>
  <si>
    <t xml:space="preserve">AVTO YES</t>
  </si>
  <si>
    <t xml:space="preserve">  Bu halda Skoring Sistemi Musteriye Kredit Verilmesi ucun Tesdiq  Verib. </t>
  </si>
  <si>
    <t xml:space="preserve">R_3020</t>
  </si>
  <si>
    <t xml:space="preserve">Embafinans scoring score is below 200</t>
  </si>
  <si>
    <t xml:space="preserve">Min. skoring balı</t>
  </si>
  <si>
    <t xml:space="preserve">  Bu halda eskperte is gelib dusmur</t>
  </si>
  <si>
    <t xml:space="preserve">Embafinans Skoring bali 200-den asagidir</t>
  </si>
  <si>
    <t xml:space="preserve">580</t>
  </si>
  <si>
    <t xml:space="preserve">Prioritet 4: AKB Tarixçə</t>
  </si>
  <si>
    <t xml:space="preserve">Imtina Sebebi</t>
  </si>
  <si>
    <t xml:space="preserve">R_4010</t>
  </si>
  <si>
    <t xml:space="preserve">Son 24 ay ərzində hər hansı ay üzrə maksimal gecikmə  günü 35+ olsa imtina olunsun</t>
  </si>
  <si>
    <t xml:space="preserve">Dövr (ay)</t>
  </si>
  <si>
    <t xml:space="preserve">Maks gecikma 35+ gün (Son 24 ay)</t>
  </si>
  <si>
    <t xml:space="preserve">330</t>
  </si>
  <si>
    <t xml:space="preserve">Maks. gecikmə günləri</t>
  </si>
  <si>
    <t xml:space="preserve">R_4020</t>
  </si>
  <si>
    <t xml:space="preserve">Cari gecikməsi olan kreditlərin  ümumi qalıq məbləği (əsas borc və ya faiz borc) 10 azn-dən yuxarı olduqda imtina olunsun</t>
  </si>
  <si>
    <t xml:space="preserve">Min. gecikmə məbləği (AZN)</t>
  </si>
  <si>
    <t xml:space="preserve">Cari vaxtı keçmiş qalıq &gt; 10 AZN</t>
  </si>
  <si>
    <t xml:space="preserve">340</t>
  </si>
  <si>
    <t xml:space="preserve">R_4025</t>
  </si>
  <si>
    <t xml:space="preserve">Kredit müqaviləsi bitib</t>
  </si>
  <si>
    <t xml:space="preserve">Min amount (AZN)</t>
  </si>
  <si>
    <t xml:space="preserve">590</t>
  </si>
  <si>
    <t xml:space="preserve">Min count</t>
  </si>
  <si>
    <t xml:space="preserve">R_4030</t>
  </si>
  <si>
    <t xml:space="preserve">Aktiv kreditlərində cari gün gecikməsi olmasın</t>
  </si>
  <si>
    <t xml:space="preserve">Cari gün gecikməsi</t>
  </si>
  <si>
    <t xml:space="preserve">350</t>
  </si>
  <si>
    <t xml:space="preserve">R_4040</t>
  </si>
  <si>
    <t xml:space="preserve">Gecikma əmsalı &gt; 2%</t>
  </si>
  <si>
    <t xml:space="preserve">360</t>
  </si>
  <si>
    <t xml:space="preserve">R_4050</t>
  </si>
  <si>
    <t xml:space="preserve">Aktiv Gündəlik kreditlərinin sayı 1-dən artıq olduqda imtina olunsun</t>
  </si>
  <si>
    <t xml:space="preserve">Maks. Gündəlik kredit sayı (PayDay)</t>
  </si>
  <si>
    <t xml:space="preserve">Aktiv PayDay kreditləri &gt; 1</t>
  </si>
  <si>
    <t xml:space="preserve">370</t>
  </si>
  <si>
    <t xml:space="preserve">R_4060</t>
  </si>
  <si>
    <t xml:space="preserve">Son bir ay ərzində alınmış (aktiv) kreditlərin sayı 2-dən çox olduqda imtina olunsun</t>
  </si>
  <si>
    <t xml:space="preserve">Kredit sayı (Son 1 ay) &gt; 2</t>
  </si>
  <si>
    <t xml:space="preserve">380</t>
  </si>
  <si>
    <t xml:space="preserve">Maks. Kredit sayı</t>
  </si>
  <si>
    <t xml:space="preserve">R_4070</t>
  </si>
  <si>
    <t xml:space="preserve">Son üç ay ərzində alınmış (aktiv) kreditlərin sayı 3-dən çox olduqda imtina olunsun</t>
  </si>
  <si>
    <t xml:space="preserve">Kredit sayı (Son 3 ay) &gt; 3</t>
  </si>
  <si>
    <t xml:space="preserve">390</t>
  </si>
  <si>
    <t xml:space="preserve">Prioritet 5: AsanFinans İş yeri və Təqaüd</t>
  </si>
  <si>
    <t xml:space="preserve">R_5010</t>
  </si>
  <si>
    <t xml:space="preserve">Rəsmi iş  yeri hüquqi şəxsə aid olsun </t>
  </si>
  <si>
    <t xml:space="preserve">Resmi is yeri ve pensiya yoxdur</t>
  </si>
  <si>
    <t xml:space="preserve">400</t>
  </si>
  <si>
    <t xml:space="preserve">R_5020</t>
  </si>
  <si>
    <t xml:space="preserve">Son iş yerində ən azı 6 ay staj</t>
  </si>
  <si>
    <t xml:space="preserve">Min. staj (ay)</t>
  </si>
  <si>
    <t xml:space="preserve">Cari is staji &lt; 6 ay</t>
  </si>
  <si>
    <t xml:space="preserve">410</t>
  </si>
  <si>
    <t xml:space="preserve">R_5030</t>
  </si>
  <si>
    <t xml:space="preserve">Cari iş müqaviləsinin bitməsinə 10 gün qalmış müştərilərə imtina olunsun</t>
  </si>
  <si>
    <t xml:space="preserve">Müqavilə bitmə günləri</t>
  </si>
  <si>
    <t xml:space="preserve">Muqavile bitmesi &lt;= 10 gun</t>
  </si>
  <si>
    <t xml:space="preserve">420</t>
  </si>
  <si>
    <t xml:space="preserve">R_5040</t>
  </si>
  <si>
    <t xml:space="preserve">DTI 150%-dən çoxdur</t>
  </si>
  <si>
    <t xml:space="preserve">Maks. DTI</t>
  </si>
  <si>
    <t xml:space="preserve">DTI 150 %-den coxdur</t>
  </si>
  <si>
    <t xml:space="preserve">570</t>
  </si>
  <si>
    <t xml:space="preserve">Prioritet 6: AsanFinans İş yeri və Təqaüd + LW</t>
  </si>
  <si>
    <t xml:space="preserve">R_6010</t>
  </si>
  <si>
    <t xml:space="preserve">Rəsmi iş  yeri fiziki şəxsə aid olduqda yalnız  Embafinans müsbət tarixçəli müştərilərə icazə verilsin</t>
  </si>
  <si>
    <t xml:space="preserve">İş yeri növü</t>
  </si>
  <si>
    <t xml:space="preserve">Fiziki şəxs</t>
  </si>
  <si>
    <t xml:space="preserve">Is yeri Fiziki sexs &amp; Tarixce yoxdur</t>
  </si>
  <si>
    <t xml:space="preserve">430</t>
  </si>
  <si>
    <t xml:space="preserve">R_6020</t>
  </si>
  <si>
    <t xml:space="preserve"> İş yeri hüquqi şəxsdirsə  şirkətin işçi sayı 5-dən az olduqda  imtina edilsin (Embafinansda müsbət olan müştərilər istisna)</t>
  </si>
  <si>
    <t xml:space="preserve">Hüquqi şəxs</t>
  </si>
  <si>
    <t xml:space="preserve">Isci sayi &lt; 5 &amp; Tarixce yoxdur</t>
  </si>
  <si>
    <t xml:space="preserve">440</t>
  </si>
  <si>
    <t xml:space="preserve">Min. İşçi sayı</t>
  </si>
  <si>
    <t xml:space="preserve">R_6030</t>
  </si>
  <si>
    <t xml:space="preserve">Təqaüd məbləği 500 azn-dən aşağı olan müştərilərə imtina olunsun (Embafinansda müsbət olan müştərilər istisna)</t>
  </si>
  <si>
    <t xml:space="preserve">Min. Təqaüd (AZN)</t>
  </si>
  <si>
    <t xml:space="preserve">Pensiya &lt; 400 AZN &amp; Tarixce yoxdur</t>
  </si>
  <si>
    <t xml:space="preserve">450</t>
  </si>
  <si>
    <t xml:space="preserve">R_6040</t>
  </si>
  <si>
    <t xml:space="preserve">Ailə başçısını itirdiyinə görə alınan təqaüdlər, övladına və ya ailə üzvlərinə görə baxım pulu alanlar, şəhidin ailə üzvlərinə verilən təqaüdüçülər imtina olunsun (Embafinansda müsbət olan müştərilər istisna)</t>
  </si>
  <si>
    <t xml:space="preserve">Mehdud pensiya novleri &amp; Tarixce yoxdur</t>
  </si>
  <si>
    <t xml:space="preserve">460</t>
  </si>
  <si>
    <t xml:space="preserve">Prioritet 7: Yekun Skor</t>
  </si>
  <si>
    <t xml:space="preserve">R_7010</t>
  </si>
  <si>
    <t xml:space="preserve">Yekun Skorinq nəticəsi</t>
  </si>
  <si>
    <t xml:space="preserve">İmtina nəticəsi</t>
  </si>
  <si>
    <t xml:space="preserve">Skorinq nəticəsi</t>
  </si>
  <si>
    <t xml:space="preserve">190</t>
  </si>
  <si>
    <t xml:space="preserve"> RCASH ÜÇÜN KƏSİM QAYDALARI (ACW)</t>
  </si>
  <si>
    <t xml:space="preserve">Sistem Avtomatik Imtina Edir</t>
  </si>
  <si>
    <t xml:space="preserve">Cari gecikma</t>
  </si>
  <si>
    <t xml:space="preserve">R_1101</t>
  </si>
  <si>
    <t xml:space="preserve">?</t>
  </si>
  <si>
    <t xml:space="preserve">R_1102</t>
  </si>
  <si>
    <t xml:space="preserve">NU – Şəxsin yenilənməmiş aktiv kreditləri mövcuddurr</t>
  </si>
  <si>
    <t xml:space="preserve">R_1103</t>
  </si>
  <si>
    <t xml:space="preserve">R_3011</t>
  </si>
  <si>
    <t xml:space="preserve">R_3012</t>
  </si>
  <si>
    <t xml:space="preserve">R_3013</t>
  </si>
  <si>
    <t xml:space="preserve">RCASH ÜÇÜN KƏSİM QAYDALARI (RShop EMB)</t>
  </si>
  <si>
    <t xml:space="preserve">Prioritet 1. Loan Workbench (LW)</t>
  </si>
  <si>
    <t xml:space="preserve">AB: Şəxsin cari dövr üzrə aktiv öhdəliyində yüksək gecikmə günləri mövcuddur. Manual Analiz Teleb Edir</t>
  </si>
  <si>
    <t xml:space="preserve">TY – Şəxsin yaşı 16-dan kiçikdir. Manual Analiz Teleb Edir</t>
  </si>
  <si>
    <t xml:space="preserve">NU – Şəxsin yenilənməmiş aktiv kreditləri mövcuddur. Manual Analiz Teleb Edir</t>
  </si>
  <si>
    <t xml:space="preserve">R_4011</t>
  </si>
  <si>
    <t xml:space="preserve">Cari gecikməsi 30+ gün olan kreditlərin  ümumi qalıq məbləği (əsas borc və ya faiz borc) 10 azn-dən yuxarı olduqda imtina olunsun</t>
  </si>
  <si>
    <t xml:space="preserve">Gecikmis qaliq &gt; 10 AZN</t>
  </si>
  <si>
    <t xml:space="preserve">R_4021</t>
  </si>
  <si>
    <t xml:space="preserve">Aktiv kreditdə cari gecikmə 30 günü keçdikdə imtina olunsun</t>
  </si>
  <si>
    <t xml:space="preserve">Aktiv Kredit Gecikmesi</t>
  </si>
  <si>
    <t xml:space="preserve">R_4051</t>
  </si>
  <si>
    <t xml:space="preserve">Aktiv PayDay Kreditleri &gt; 2</t>
  </si>
  <si>
    <t xml:space="preserve">RCASH ÜÇÜN KƏSİM QAYDALARI (RShop Qeyri-EMB)</t>
  </si>
  <si>
    <t xml:space="preserve">Cari gecikməsi 5+ gün olan kreditlərin  ümumi qalıq məbləği (əsas borc və ya faiz borc) 10 azn-dən yuxarı olduqda imtina olunsun</t>
  </si>
  <si>
    <t xml:space="preserve">RCASH PAYDAY ÜÇÜN KƏSİM QAYDALARI (WPD+ WCL)	</t>
  </si>
  <si>
    <t xml:space="preserve">Embafinans və OnePointdə layihəsində gündəlik krediti üzrə tam ödəniş etdikdən yalnız 3 iş günü kecmeyib</t>
  </si>
  <si>
    <t xml:space="preserve">Embafinans scoring score is below 100</t>
  </si>
  <si>
    <t xml:space="preserve">Embafinans Skoring bali 100-den asagidir</t>
  </si>
  <si>
    <t xml:space="preserve">Embafinans skoring balı 100-dən aşağıdır</t>
  </si>
  <si>
    <t xml:space="preserve">Gecikmə günləri üzrə əmsal 6%-dən yüksək olduqda imtina olunsun</t>
  </si>
  <si>
    <t xml:space="preserve">Son 12 ayda maksimal gecikme muddeti  bir gecikmə üzrə 15+ olduqda imtina olunsun</t>
  </si>
  <si>
    <t xml:space="preserve">car gun gecikmesi</t>
  </si>
  <si>
    <t xml:space="preserve">Son 6 ayda gündəlik krediti olmayan müştəriyə imtina olunsun</t>
  </si>
  <si>
    <t xml:space="preserve">Aktiv kredit tarixçəsi 9 aydan az olduqda imtina olunsun</t>
  </si>
  <si>
    <t xml:space="preserve">Aktiv aylıq ödənişlərin cəmi 3000azn-dən artıq olduqda imtina olunsun</t>
  </si>
  <si>
    <t xml:space="preserve">Rejection Reason</t>
  </si>
  <si>
    <t xml:space="preserve">id</t>
  </si>
  <si>
    <t xml:space="preserve">text</t>
  </si>
  <si>
    <t xml:space="preserve">Pensiya &lt; 400 AZN &amp; Tarixçə yoxdur</t>
  </si>
  <si>
    <t xml:space="preserve">İş yeri Fiziki şəxs &amp; Tarixçə yoxdur</t>
  </si>
  <si>
    <t xml:space="preserve">Aktiv nağd kredit &lt; 50%</t>
  </si>
  <si>
    <t xml:space="preserve">480</t>
  </si>
  <si>
    <t xml:space="preserve">Aktiv kredit gecikməsi</t>
  </si>
  <si>
    <t xml:space="preserve">Yalan məlumat</t>
  </si>
  <si>
    <t xml:space="preserve">Müqavilə bitməsi &lt;= 10 gün</t>
  </si>
  <si>
    <t xml:space="preserve">Rəsmi iş yeri və pensiya yoxdur</t>
  </si>
  <si>
    <t xml:space="preserve">Skorinq nəticəsinə görə rədd edildi</t>
  </si>
  <si>
    <t xml:space="preserve">İşçi sayı &lt; 5 &amp; Tarixçə yoxdur</t>
  </si>
  <si>
    <t xml:space="preserve">Əmək stajı azdır</t>
  </si>
  <si>
    <t xml:space="preserve">Borc yüklülüyü çoxdur</t>
  </si>
  <si>
    <t xml:space="preserve">Embafinans skoring balı 200-dən aşağıdır</t>
  </si>
  <si>
    <t xml:space="preserve">200</t>
  </si>
  <si>
    <t xml:space="preserve">AKB Stop-Faktorları</t>
  </si>
  <si>
    <t xml:space="preserve">470</t>
  </si>
  <si>
    <t xml:space="preserve">Gecikmiş qalıq &gt; 10 AZN</t>
  </si>
  <si>
    <t xml:space="preserve">Gəliri kifayət etmir</t>
  </si>
  <si>
    <t xml:space="preserve">Cari iş stajı &lt; 6 ay</t>
  </si>
  <si>
    <t xml:space="preserve">Ailə üzvlərinin mənfi tarixçəsi</t>
  </si>
  <si>
    <t xml:space="preserve">Məhdud pensiya növləri &amp; Tarixçə yoxdur</t>
  </si>
  <si>
    <t xml:space="preserve">Aktiv OnePoint krediti</t>
  </si>
  <si>
    <t xml:space="preserve">Qara siyahı</t>
  </si>
  <si>
    <t xml:space="preserve">371</t>
  </si>
  <si>
    <t xml:space="preserve">Aktiv PayDay kreditləri &gt; 2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</si>
</sst>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0"/>
    <numFmt numFmtId="167" formatCode="0.00%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204"/>
    </font>
    <font>
      <b val="true"/>
      <sz val="24"/>
      <color theme="1"/>
      <name val="Arial"/>
      <family val="2"/>
      <charset val="204"/>
    </font>
    <font>
      <sz val="11"/>
      <color theme="0"/>
      <name val="Arial"/>
      <family val="2"/>
      <charset val="204"/>
    </font>
    <font>
      <sz val="11"/>
      <color theme="0"/>
      <name val="Calibri"/>
      <family val="2"/>
      <charset val="1"/>
    </font>
    <font>
      <b val="true"/>
      <sz val="11"/>
      <color theme="1"/>
      <name val="Arial"/>
      <family val="2"/>
      <charset val="204"/>
    </font>
    <font>
      <b val="true"/>
      <sz val="11"/>
      <color rgb="FF333333"/>
      <name val="Arial"/>
      <family val="2"/>
      <charset val="204"/>
    </font>
    <font>
      <b val="true"/>
      <sz val="16"/>
      <color rgb="FFFF0000"/>
      <name val="Arial"/>
      <family val="2"/>
      <charset val="1"/>
    </font>
    <font>
      <b val="true"/>
      <sz val="14"/>
      <color rgb="FFFF0000"/>
      <name val="Arial"/>
      <family val="2"/>
      <charset val="1"/>
    </font>
    <font>
      <b val="true"/>
      <sz val="14"/>
      <color theme="1"/>
      <name val="Arial"/>
      <family val="2"/>
      <charset val="204"/>
    </font>
    <font>
      <b val="true"/>
      <sz val="16"/>
      <color theme="1"/>
      <name val="Arial"/>
      <family val="2"/>
      <charset val="204"/>
    </font>
    <font>
      <sz val="11"/>
      <color rgb="FF333333"/>
      <name val="Arial"/>
      <family val="2"/>
      <charset val="204"/>
    </font>
    <font>
      <b val="true"/>
      <sz val="9"/>
      <color theme="1"/>
      <name val="Arial"/>
      <family val="2"/>
      <charset val="204"/>
    </font>
    <font>
      <b val="true"/>
      <sz val="8"/>
      <color theme="1"/>
      <name val="Arial"/>
      <family val="2"/>
      <charset val="204"/>
    </font>
    <font>
      <b val="true"/>
      <sz val="16"/>
      <color rgb="FFFF0000"/>
      <name val="Arial"/>
      <family val="2"/>
      <charset val="204"/>
    </font>
    <font>
      <sz val="11"/>
      <color rgb="FFFF0000"/>
      <name val="Calibri"/>
      <family val="2"/>
      <charset val="1"/>
    </font>
    <font>
      <b val="true"/>
      <sz val="12"/>
      <color rgb="FFFF0000"/>
      <name val="Arial"/>
      <family val="2"/>
      <charset val="1"/>
    </font>
    <font>
      <b val="true"/>
      <sz val="14"/>
      <color rgb="FFFF0000"/>
      <name val="Arial"/>
      <family val="2"/>
      <charset val="204"/>
    </font>
    <font>
      <b val="true"/>
      <sz val="24"/>
      <color rgb="FFFF0000"/>
      <name val="Arial"/>
      <family val="2"/>
      <charset val="204"/>
    </font>
    <font>
      <sz val="24"/>
      <color rgb="FFFF0000"/>
      <name val="Calibri"/>
      <family val="2"/>
      <charset val="1"/>
    </font>
    <font>
      <b val="true"/>
      <sz val="18"/>
      <color rgb="FFFF0000"/>
      <name val="Arial"/>
      <family val="2"/>
      <charset val="204"/>
    </font>
    <font>
      <b val="true"/>
      <sz val="18"/>
      <color rgb="FFFF0000"/>
      <name val="Arial"/>
      <family val="2"/>
      <charset val="1"/>
    </font>
    <font>
      <sz val="18"/>
      <color rgb="FFFF0000"/>
      <name val="Calibri"/>
      <family val="2"/>
      <charset val="1"/>
    </font>
    <font>
      <sz val="18"/>
      <color theme="1"/>
      <name val="Calibri"/>
      <family val="2"/>
      <charset val="1"/>
    </font>
    <font>
      <b val="true"/>
      <sz val="9"/>
      <name val="Arial"/>
      <family val="2"/>
      <charset val="1"/>
    </font>
    <font>
      <b val="true"/>
      <sz val="9"/>
      <color rgb="FFFF0000"/>
      <name val="Arial"/>
      <family val="2"/>
      <charset val="204"/>
    </font>
    <font>
      <b val="true"/>
      <sz val="9"/>
      <color rgb="FFFF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6"/>
        <bgColor rgb="FF969696"/>
      </patternFill>
    </fill>
    <fill>
      <patternFill patternType="solid">
        <fgColor theme="0" tint="-0.15"/>
        <bgColor rgb="FFDCE6F2"/>
      </patternFill>
    </fill>
    <fill>
      <patternFill patternType="solid">
        <fgColor theme="4" tint="0.7998"/>
        <bgColor rgb="FFD9D9D9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4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4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4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4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9" fillId="4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9" fillId="4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0" fillId="4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6" fillId="4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4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4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6" fillId="4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6" fillId="4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4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4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4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7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4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4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3" fillId="4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4" fillId="4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7" fillId="4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4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8" fillId="4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9" fillId="4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b val="1"/>
        <color rgb="FFFF0000"/>
      </font>
      <fill>
        <patternFill>
          <bgColor theme="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B89"/>
  <sheetViews>
    <sheetView showFormulas="false" showGridLines="true" showRowColHeaders="true" showZeros="true" rightToLeft="false" tabSelected="false" showOutlineSymbols="true" defaultGridColor="true" view="normal" topLeftCell="A46" colorId="64" zoomScale="100" zoomScaleNormal="100" zoomScalePageLayoutView="100" workbookViewId="0">
      <selection pane="topLeft" activeCell="K65" activeCellId="0" sqref="K65"/>
    </sheetView>
  </sheetViews>
  <sheetFormatPr defaultColWidth="2.66796875" defaultRowHeight="14.25" customHeight="true" zeroHeight="false" outlineLevelRow="0" outlineLevelCol="0"/>
  <cols>
    <col collapsed="false" customWidth="false" hidden="false" outlineLevel="0" max="10" min="1" style="1" width="2.67"/>
    <col collapsed="false" customWidth="false" hidden="false" outlineLevel="0" max="25" min="11" style="2" width="2.67"/>
    <col collapsed="false" customWidth="false" hidden="false" outlineLevel="0" max="39" min="26" style="3" width="2.67"/>
    <col collapsed="false" customWidth="true" hidden="false" outlineLevel="0" max="40" min="40" style="3" width="8"/>
    <col collapsed="false" customWidth="true" hidden="false" outlineLevel="0" max="41" min="41" style="3" width="22.67"/>
    <col collapsed="false" customWidth="true" hidden="false" outlineLevel="0" max="42" min="42" style="3" width="19.21"/>
    <col collapsed="false" customWidth="true" hidden="false" outlineLevel="0" max="43" min="43" style="3" width="17.88"/>
    <col collapsed="false" customWidth="false" hidden="false" outlineLevel="0" max="54" min="44" style="3" width="2.67"/>
    <col collapsed="false" customWidth="true" hidden="false" outlineLevel="0" max="55" min="55" style="3" width="11.67"/>
    <col collapsed="false" customWidth="false" hidden="false" outlineLevel="0" max="77" min="56" style="3" width="2.67"/>
    <col collapsed="false" customWidth="false" hidden="false" outlineLevel="0" max="85" min="78" style="4" width="2.67"/>
  </cols>
  <sheetData>
    <row r="1" customFormat="false" ht="15" hidden="false" customHeight="true" outlineLevel="0" collapsed="false"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</row>
    <row r="2" customFormat="false" ht="30" hidden="false" customHeight="true" outlineLevel="0" collapsed="false">
      <c r="A2" s="6" t="str">
        <f aca="false">CR2&amp;" ("&amp;CI2&amp;")"</f>
        <v>RCASH ÜÇÜN KƏSİM QAYDALARI (ABC + ACZ)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I2" s="7" t="s">
        <v>0</v>
      </c>
      <c r="CJ2" s="7"/>
      <c r="CK2" s="7"/>
      <c r="CL2" s="7"/>
      <c r="CM2" s="7"/>
      <c r="CN2" s="7"/>
      <c r="CO2" s="7"/>
      <c r="CP2" s="7"/>
      <c r="CR2" s="8" t="s">
        <v>1</v>
      </c>
    </row>
    <row r="3" customFormat="false" ht="75" hidden="false" customHeight="true" outlineLevel="0" collapsed="false">
      <c r="A3" s="9" t="s">
        <v>2</v>
      </c>
      <c r="B3" s="9"/>
      <c r="C3" s="9"/>
      <c r="D3" s="9"/>
      <c r="E3" s="9"/>
      <c r="F3" s="9"/>
      <c r="G3" s="9" t="s">
        <v>3</v>
      </c>
      <c r="H3" s="9"/>
      <c r="I3" s="9"/>
      <c r="J3" s="9"/>
      <c r="K3" s="10" t="s">
        <v>4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 t="s">
        <v>5</v>
      </c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 t="s">
        <v>6</v>
      </c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1" t="s">
        <v>7</v>
      </c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 t="s">
        <v>8</v>
      </c>
      <c r="BV3" s="11"/>
      <c r="BW3" s="11"/>
      <c r="BX3" s="11"/>
      <c r="BY3" s="11"/>
      <c r="BZ3" s="9" t="s">
        <v>9</v>
      </c>
      <c r="CA3" s="9"/>
      <c r="CB3" s="9"/>
      <c r="CC3" s="9"/>
      <c r="CD3" s="9"/>
      <c r="CE3" s="9"/>
      <c r="CF3" s="9"/>
      <c r="CG3" s="9"/>
    </row>
    <row r="4" customFormat="false" ht="20.25" hidden="false" customHeight="true" outlineLevel="0" collapsed="false">
      <c r="A4" s="12" t="s">
        <v>10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3" t="s">
        <v>11</v>
      </c>
      <c r="AP4" s="14" t="s">
        <v>12</v>
      </c>
      <c r="AQ4" s="14" t="s">
        <v>13</v>
      </c>
      <c r="AR4" s="14"/>
      <c r="AS4" s="14"/>
      <c r="AT4" s="14"/>
      <c r="AU4" s="15"/>
      <c r="AV4" s="15"/>
      <c r="AW4" s="15"/>
      <c r="AX4" s="15"/>
      <c r="AY4" s="15"/>
      <c r="AZ4" s="15"/>
      <c r="BA4" s="15"/>
      <c r="BB4" s="15"/>
      <c r="BC4" s="15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</row>
    <row r="5" customFormat="false" ht="57" hidden="false" customHeight="true" outlineLevel="0" collapsed="false">
      <c r="A5" s="17" t="s">
        <v>14</v>
      </c>
      <c r="B5" s="17"/>
      <c r="C5" s="17"/>
      <c r="D5" s="17"/>
      <c r="E5" s="17"/>
      <c r="F5" s="17"/>
      <c r="G5" s="18" t="s">
        <v>15</v>
      </c>
      <c r="H5" s="18"/>
      <c r="I5" s="18"/>
      <c r="J5" s="18"/>
      <c r="K5" s="19" t="s">
        <v>16</v>
      </c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20" t="s">
        <v>17</v>
      </c>
      <c r="AP5" s="20" t="s">
        <v>18</v>
      </c>
      <c r="AQ5" s="21" t="s">
        <v>19</v>
      </c>
      <c r="AR5" s="21"/>
      <c r="AS5" s="21"/>
      <c r="AT5" s="21"/>
      <c r="AU5" s="21" t="s">
        <v>20</v>
      </c>
      <c r="AV5" s="21"/>
      <c r="AW5" s="21"/>
      <c r="AX5" s="21"/>
      <c r="AY5" s="21"/>
      <c r="AZ5" s="21"/>
      <c r="BA5" s="21"/>
      <c r="BB5" s="21"/>
      <c r="BC5" s="21"/>
      <c r="BD5" s="22" t="s">
        <v>21</v>
      </c>
      <c r="BE5" s="22"/>
      <c r="BF5" s="22"/>
      <c r="BG5" s="23" t="str">
        <f aca="false">IFERROR(VLOOKUP('Cash ABC+ACZ'!BD5,Lookups111!A$4:B$38,2,FALSE()),"")</f>
        <v>Qara siyahı</v>
      </c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19"/>
      <c r="BV5" s="19"/>
      <c r="BW5" s="19"/>
      <c r="BX5" s="19"/>
      <c r="BY5" s="19"/>
      <c r="BZ5" s="24" t="n">
        <v>1</v>
      </c>
      <c r="CA5" s="24"/>
      <c r="CB5" s="24"/>
      <c r="CC5" s="24"/>
      <c r="CD5" s="24"/>
      <c r="CE5" s="24"/>
      <c r="CF5" s="24"/>
      <c r="CG5" s="24"/>
    </row>
    <row r="6" customFormat="false" ht="57" hidden="false" customHeight="true" outlineLevel="0" collapsed="false">
      <c r="A6" s="17" t="s">
        <v>22</v>
      </c>
      <c r="B6" s="17"/>
      <c r="C6" s="17"/>
      <c r="D6" s="17"/>
      <c r="E6" s="17"/>
      <c r="F6" s="17"/>
      <c r="G6" s="18" t="s">
        <v>15</v>
      </c>
      <c r="H6" s="18"/>
      <c r="I6" s="18"/>
      <c r="J6" s="18"/>
      <c r="K6" s="19" t="s">
        <v>23</v>
      </c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20" t="s">
        <v>17</v>
      </c>
      <c r="AP6" s="20" t="s">
        <v>18</v>
      </c>
      <c r="AQ6" s="21" t="s">
        <v>19</v>
      </c>
      <c r="AR6" s="21"/>
      <c r="AS6" s="21"/>
      <c r="AT6" s="21"/>
      <c r="AU6" s="21" t="s">
        <v>24</v>
      </c>
      <c r="AV6" s="21"/>
      <c r="AW6" s="21"/>
      <c r="AX6" s="21"/>
      <c r="AY6" s="21"/>
      <c r="AZ6" s="21"/>
      <c r="BA6" s="21"/>
      <c r="BB6" s="21"/>
      <c r="BC6" s="21"/>
      <c r="BD6" s="22" t="s">
        <v>25</v>
      </c>
      <c r="BE6" s="22"/>
      <c r="BF6" s="22"/>
      <c r="BG6" s="23" t="str">
        <f aca="false">IFERROR(VLOOKUP('Cash ABC+ACZ'!BD6,Lookups111!A$4:B$38,2,FALSE()),"")</f>
        <v>Gəliri kifayət etmir</v>
      </c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5" t="n">
        <v>15</v>
      </c>
      <c r="BV6" s="25"/>
      <c r="BW6" s="25"/>
      <c r="BX6" s="25"/>
      <c r="BY6" s="25"/>
      <c r="BZ6" s="24" t="n">
        <v>2</v>
      </c>
      <c r="CA6" s="24"/>
      <c r="CB6" s="24"/>
      <c r="CC6" s="24"/>
      <c r="CD6" s="24"/>
      <c r="CE6" s="24"/>
      <c r="CF6" s="24"/>
      <c r="CG6" s="24"/>
    </row>
    <row r="7" customFormat="false" ht="57" hidden="false" customHeight="true" outlineLevel="0" collapsed="false">
      <c r="A7" s="17" t="s">
        <v>26</v>
      </c>
      <c r="B7" s="17"/>
      <c r="C7" s="17"/>
      <c r="D7" s="17"/>
      <c r="E7" s="17"/>
      <c r="F7" s="17"/>
      <c r="G7" s="18" t="s">
        <v>15</v>
      </c>
      <c r="H7" s="18"/>
      <c r="I7" s="18"/>
      <c r="J7" s="18"/>
      <c r="K7" s="26" t="s">
        <v>27</v>
      </c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0" t="s">
        <v>17</v>
      </c>
      <c r="AP7" s="20" t="s">
        <v>18</v>
      </c>
      <c r="AQ7" s="21" t="s">
        <v>19</v>
      </c>
      <c r="AR7" s="21"/>
      <c r="AS7" s="21"/>
      <c r="AT7" s="21"/>
      <c r="AU7" s="21" t="s">
        <v>28</v>
      </c>
      <c r="AV7" s="21"/>
      <c r="AW7" s="21"/>
      <c r="AX7" s="21"/>
      <c r="AY7" s="21"/>
      <c r="AZ7" s="21"/>
      <c r="BA7" s="21"/>
      <c r="BB7" s="21"/>
      <c r="BC7" s="21"/>
      <c r="BD7" s="22" t="s">
        <v>29</v>
      </c>
      <c r="BE7" s="22"/>
      <c r="BF7" s="22"/>
      <c r="BG7" s="23" t="str">
        <f aca="false">IFERROR(VLOOKUP('Cash ABC+ACZ'!BD7,Lookups111!A$4:B$38,2,FALSE()),"")</f>
        <v>Mənfi kredit tarixçəsi</v>
      </c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7" t="n">
        <v>90</v>
      </c>
      <c r="BV7" s="27"/>
      <c r="BW7" s="27"/>
      <c r="BX7" s="27"/>
      <c r="BY7" s="27"/>
      <c r="BZ7" s="24" t="n">
        <v>3</v>
      </c>
      <c r="CA7" s="24"/>
      <c r="CB7" s="24"/>
      <c r="CC7" s="24"/>
      <c r="CD7" s="24"/>
      <c r="CE7" s="24"/>
      <c r="CF7" s="24"/>
      <c r="CG7" s="24"/>
    </row>
    <row r="8" customFormat="false" ht="57" hidden="false" customHeight="true" outlineLevel="0" collapsed="false">
      <c r="A8" s="17" t="s">
        <v>30</v>
      </c>
      <c r="B8" s="17"/>
      <c r="C8" s="17"/>
      <c r="D8" s="17"/>
      <c r="E8" s="17"/>
      <c r="F8" s="17"/>
      <c r="G8" s="18" t="s">
        <v>15</v>
      </c>
      <c r="H8" s="18"/>
      <c r="I8" s="18"/>
      <c r="J8" s="18"/>
      <c r="K8" s="26" t="s">
        <v>31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0" t="s">
        <v>17</v>
      </c>
      <c r="AP8" s="20" t="s">
        <v>18</v>
      </c>
      <c r="AQ8" s="21" t="s">
        <v>19</v>
      </c>
      <c r="AR8" s="21"/>
      <c r="AS8" s="21"/>
      <c r="AT8" s="21"/>
      <c r="AU8" s="21" t="s">
        <v>32</v>
      </c>
      <c r="AV8" s="21"/>
      <c r="AW8" s="21"/>
      <c r="AX8" s="21"/>
      <c r="AY8" s="21"/>
      <c r="AZ8" s="21"/>
      <c r="BA8" s="21"/>
      <c r="BB8" s="21"/>
      <c r="BC8" s="21"/>
      <c r="BD8" s="22" t="s">
        <v>33</v>
      </c>
      <c r="BE8" s="22"/>
      <c r="BF8" s="22"/>
      <c r="BG8" s="23" t="str">
        <f aca="false">IFERROR(VLOOKUP('Cash ABC+ACZ'!BD8,Lookups111!A$4:B$38,2,FALSE()),"")</f>
        <v>Ailə üzvlərinin mənfi tarixçəsi</v>
      </c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7" t="n">
        <v>15</v>
      </c>
      <c r="BV8" s="27"/>
      <c r="BW8" s="27"/>
      <c r="BX8" s="27"/>
      <c r="BY8" s="27"/>
      <c r="BZ8" s="24" t="n">
        <v>4</v>
      </c>
      <c r="CA8" s="24"/>
      <c r="CB8" s="24"/>
      <c r="CC8" s="24"/>
      <c r="CD8" s="24"/>
      <c r="CE8" s="24"/>
      <c r="CF8" s="24"/>
      <c r="CG8" s="24"/>
    </row>
    <row r="9" customFormat="false" ht="57" hidden="false" customHeight="true" outlineLevel="0" collapsed="false">
      <c r="A9" s="17" t="s">
        <v>34</v>
      </c>
      <c r="B9" s="17"/>
      <c r="C9" s="17"/>
      <c r="D9" s="17"/>
      <c r="E9" s="17"/>
      <c r="F9" s="17"/>
      <c r="G9" s="18" t="s">
        <v>15</v>
      </c>
      <c r="H9" s="18"/>
      <c r="I9" s="18"/>
      <c r="J9" s="18"/>
      <c r="K9" s="26" t="s">
        <v>35</v>
      </c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0" t="s">
        <v>17</v>
      </c>
      <c r="AP9" s="20" t="s">
        <v>18</v>
      </c>
      <c r="AQ9" s="21" t="s">
        <v>19</v>
      </c>
      <c r="AR9" s="21"/>
      <c r="AS9" s="21"/>
      <c r="AT9" s="21"/>
      <c r="AU9" s="21" t="s">
        <v>36</v>
      </c>
      <c r="AV9" s="21"/>
      <c r="AW9" s="21"/>
      <c r="AX9" s="21"/>
      <c r="AY9" s="21"/>
      <c r="AZ9" s="21"/>
      <c r="BA9" s="21"/>
      <c r="BB9" s="21"/>
      <c r="BC9" s="21"/>
      <c r="BD9" s="22" t="s">
        <v>37</v>
      </c>
      <c r="BE9" s="22"/>
      <c r="BF9" s="22"/>
      <c r="BG9" s="23" t="str">
        <f aca="false">IFERROR(VLOOKUP('Cash ABC+ACZ'!BD9,Lookups111!A$4:B$38,2,FALSE()),"")</f>
        <v>Yalan məlumat</v>
      </c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7" t="n">
        <v>15</v>
      </c>
      <c r="BV9" s="27"/>
      <c r="BW9" s="27"/>
      <c r="BX9" s="27"/>
      <c r="BY9" s="27"/>
      <c r="BZ9" s="24" t="n">
        <v>5</v>
      </c>
      <c r="CA9" s="24"/>
      <c r="CB9" s="24"/>
      <c r="CC9" s="24"/>
      <c r="CD9" s="24"/>
      <c r="CE9" s="24"/>
      <c r="CF9" s="24"/>
      <c r="CG9" s="24"/>
    </row>
    <row r="10" customFormat="false" ht="57" hidden="false" customHeight="true" outlineLevel="0" collapsed="false">
      <c r="A10" s="17" t="s">
        <v>38</v>
      </c>
      <c r="B10" s="17"/>
      <c r="C10" s="17"/>
      <c r="D10" s="17"/>
      <c r="E10" s="17"/>
      <c r="F10" s="17"/>
      <c r="G10" s="18" t="s">
        <v>15</v>
      </c>
      <c r="H10" s="18"/>
      <c r="I10" s="18"/>
      <c r="J10" s="18"/>
      <c r="K10" s="26" t="s">
        <v>39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0" t="s">
        <v>17</v>
      </c>
      <c r="AP10" s="20" t="s">
        <v>18</v>
      </c>
      <c r="AQ10" s="21" t="s">
        <v>19</v>
      </c>
      <c r="AR10" s="21"/>
      <c r="AS10" s="21"/>
      <c r="AT10" s="21"/>
      <c r="AU10" s="21" t="s">
        <v>40</v>
      </c>
      <c r="AV10" s="21"/>
      <c r="AW10" s="21"/>
      <c r="AX10" s="21"/>
      <c r="AY10" s="21"/>
      <c r="AZ10" s="21"/>
      <c r="BA10" s="21"/>
      <c r="BB10" s="21"/>
      <c r="BC10" s="21"/>
      <c r="BD10" s="22" t="s">
        <v>41</v>
      </c>
      <c r="BE10" s="22"/>
      <c r="BF10" s="22"/>
      <c r="BG10" s="23" t="str">
        <f aca="false">IFERROR(VLOOKUP('Cash ABC+ACZ'!BD10,Lookups111!A$4:B$38,2,FALSE()),"")</f>
        <v>Borc yüklülüyü çoxdur</v>
      </c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7" t="n">
        <v>3</v>
      </c>
      <c r="BV10" s="27"/>
      <c r="BW10" s="27"/>
      <c r="BX10" s="27"/>
      <c r="BY10" s="27"/>
      <c r="BZ10" s="24" t="n">
        <v>6</v>
      </c>
      <c r="CA10" s="24"/>
      <c r="CB10" s="24"/>
      <c r="CC10" s="24"/>
      <c r="CD10" s="24"/>
      <c r="CE10" s="24"/>
      <c r="CF10" s="24"/>
      <c r="CG10" s="24"/>
    </row>
    <row r="11" customFormat="false" ht="57" hidden="false" customHeight="true" outlineLevel="0" collapsed="false">
      <c r="A11" s="17" t="s">
        <v>42</v>
      </c>
      <c r="B11" s="17"/>
      <c r="C11" s="17"/>
      <c r="D11" s="17"/>
      <c r="E11" s="17"/>
      <c r="F11" s="17"/>
      <c r="G11" s="18" t="s">
        <v>15</v>
      </c>
      <c r="H11" s="18"/>
      <c r="I11" s="18"/>
      <c r="J11" s="18"/>
      <c r="K11" s="26" t="s">
        <v>43</v>
      </c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0" t="s">
        <v>17</v>
      </c>
      <c r="AP11" s="20" t="s">
        <v>18</v>
      </c>
      <c r="AQ11" s="21" t="s">
        <v>19</v>
      </c>
      <c r="AR11" s="21"/>
      <c r="AS11" s="21"/>
      <c r="AT11" s="21"/>
      <c r="AU11" s="21" t="s">
        <v>44</v>
      </c>
      <c r="AV11" s="21"/>
      <c r="AW11" s="21"/>
      <c r="AX11" s="21"/>
      <c r="AY11" s="21"/>
      <c r="AZ11" s="21"/>
      <c r="BA11" s="21"/>
      <c r="BB11" s="21"/>
      <c r="BC11" s="21"/>
      <c r="BD11" s="22" t="s">
        <v>45</v>
      </c>
      <c r="BE11" s="22"/>
      <c r="BF11" s="22"/>
      <c r="BG11" s="23" t="str">
        <f aca="false">IFERROR(VLOOKUP('Cash ABC+ACZ'!BD11,Lookups111!A$4:B$38,2,FALSE()),"")</f>
        <v>Əmək stajı azdır</v>
      </c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7" t="n">
        <v>3</v>
      </c>
      <c r="BV11" s="27"/>
      <c r="BW11" s="27"/>
      <c r="BX11" s="27"/>
      <c r="BY11" s="27"/>
      <c r="BZ11" s="24" t="n">
        <v>7</v>
      </c>
      <c r="CA11" s="24"/>
      <c r="CB11" s="24"/>
      <c r="CC11" s="24"/>
      <c r="CD11" s="24"/>
      <c r="CE11" s="24"/>
      <c r="CF11" s="24"/>
      <c r="CG11" s="24"/>
    </row>
    <row r="12" customFormat="false" ht="57" hidden="false" customHeight="true" outlineLevel="0" collapsed="false">
      <c r="A12" s="17" t="s">
        <v>46</v>
      </c>
      <c r="B12" s="17"/>
      <c r="C12" s="17"/>
      <c r="D12" s="17"/>
      <c r="E12" s="17"/>
      <c r="F12" s="17"/>
      <c r="G12" s="18" t="s">
        <v>15</v>
      </c>
      <c r="H12" s="18"/>
      <c r="I12" s="18"/>
      <c r="J12" s="18"/>
      <c r="K12" s="26" t="s">
        <v>47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0" t="s">
        <v>17</v>
      </c>
      <c r="AP12" s="20" t="s">
        <v>18</v>
      </c>
      <c r="AQ12" s="21" t="s">
        <v>19</v>
      </c>
      <c r="AR12" s="21"/>
      <c r="AS12" s="21"/>
      <c r="AT12" s="21"/>
      <c r="AU12" s="21" t="s">
        <v>48</v>
      </c>
      <c r="AV12" s="21"/>
      <c r="AW12" s="21"/>
      <c r="AX12" s="21"/>
      <c r="AY12" s="21"/>
      <c r="AZ12" s="21"/>
      <c r="BA12" s="21"/>
      <c r="BB12" s="21"/>
      <c r="BC12" s="21"/>
      <c r="BD12" s="22" t="s">
        <v>49</v>
      </c>
      <c r="BE12" s="22"/>
      <c r="BF12" s="22"/>
      <c r="BG12" s="23" t="str">
        <f aca="false">IFERROR(VLOOKUP('Cash ABC+ACZ'!BD12,Lookups111!A$4:B$38,2,FALSE()),"")</f>
        <v>Kobud rəftar</v>
      </c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7" t="n">
        <v>3</v>
      </c>
      <c r="BV12" s="27"/>
      <c r="BW12" s="27"/>
      <c r="BX12" s="27"/>
      <c r="BY12" s="27"/>
      <c r="BZ12" s="24" t="n">
        <v>8</v>
      </c>
      <c r="CA12" s="24"/>
      <c r="CB12" s="24"/>
      <c r="CC12" s="24"/>
      <c r="CD12" s="24"/>
      <c r="CE12" s="24"/>
      <c r="CF12" s="24"/>
      <c r="CG12" s="24"/>
    </row>
    <row r="13" customFormat="false" ht="57" hidden="false" customHeight="true" outlineLevel="0" collapsed="false">
      <c r="A13" s="17" t="s">
        <v>50</v>
      </c>
      <c r="B13" s="17"/>
      <c r="C13" s="17"/>
      <c r="D13" s="17"/>
      <c r="E13" s="17"/>
      <c r="F13" s="17"/>
      <c r="G13" s="18" t="s">
        <v>15</v>
      </c>
      <c r="H13" s="18"/>
      <c r="I13" s="18"/>
      <c r="J13" s="18"/>
      <c r="K13" s="19" t="s">
        <v>51</v>
      </c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0" t="s">
        <v>17</v>
      </c>
      <c r="AP13" s="20" t="s">
        <v>18</v>
      </c>
      <c r="AQ13" s="21" t="s">
        <v>19</v>
      </c>
      <c r="AR13" s="21"/>
      <c r="AS13" s="21"/>
      <c r="AT13" s="21"/>
      <c r="AU13" s="21" t="s">
        <v>52</v>
      </c>
      <c r="AV13" s="21"/>
      <c r="AW13" s="21"/>
      <c r="AX13" s="21"/>
      <c r="AY13" s="21"/>
      <c r="AZ13" s="21"/>
      <c r="BA13" s="21"/>
      <c r="BB13" s="21"/>
      <c r="BC13" s="21"/>
      <c r="BD13" s="22" t="s">
        <v>53</v>
      </c>
      <c r="BE13" s="22"/>
      <c r="BF13" s="22"/>
      <c r="BG13" s="23" t="str">
        <f aca="false">IFERROR(VLOOKUP('Cash ABC+ACZ'!BD13,Lookups111!A$4:B$38,2,FALSE()),"")</f>
        <v>Aktiv nağd kredit &lt; 50%</v>
      </c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6"/>
      <c r="BV13" s="26"/>
      <c r="BW13" s="26"/>
      <c r="BX13" s="26"/>
      <c r="BY13" s="26"/>
      <c r="BZ13" s="24" t="n">
        <v>9</v>
      </c>
      <c r="CA13" s="24"/>
      <c r="CB13" s="24"/>
      <c r="CC13" s="24"/>
      <c r="CD13" s="24"/>
      <c r="CE13" s="24"/>
      <c r="CF13" s="24"/>
      <c r="CG13" s="24"/>
    </row>
    <row r="14" customFormat="false" ht="57" hidden="false" customHeight="true" outlineLevel="0" collapsed="false">
      <c r="A14" s="17" t="s">
        <v>54</v>
      </c>
      <c r="B14" s="17"/>
      <c r="C14" s="17"/>
      <c r="D14" s="17"/>
      <c r="E14" s="17"/>
      <c r="F14" s="17"/>
      <c r="G14" s="18" t="s">
        <v>15</v>
      </c>
      <c r="H14" s="18"/>
      <c r="I14" s="18"/>
      <c r="J14" s="18"/>
      <c r="K14" s="19" t="s">
        <v>55</v>
      </c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0" t="s">
        <v>17</v>
      </c>
      <c r="AP14" s="20" t="s">
        <v>18</v>
      </c>
      <c r="AQ14" s="21" t="s">
        <v>19</v>
      </c>
      <c r="AR14" s="21"/>
      <c r="AS14" s="21"/>
      <c r="AT14" s="21"/>
      <c r="AU14" s="21" t="s">
        <v>56</v>
      </c>
      <c r="AV14" s="21"/>
      <c r="AW14" s="21"/>
      <c r="AX14" s="21"/>
      <c r="AY14" s="21"/>
      <c r="AZ14" s="21"/>
      <c r="BA14" s="21"/>
      <c r="BB14" s="21"/>
      <c r="BC14" s="21"/>
      <c r="BD14" s="22" t="s">
        <v>57</v>
      </c>
      <c r="BE14" s="22"/>
      <c r="BF14" s="22"/>
      <c r="BG14" s="23" t="str">
        <f aca="false">IFERROR(VLOOKUP('Cash ABC+ACZ'!BD14,Lookups111!A$4:B$38,2,FALSE()),"")</f>
        <v>Aktiv OnePoint krediti</v>
      </c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6"/>
      <c r="BV14" s="26"/>
      <c r="BW14" s="26"/>
      <c r="BX14" s="26"/>
      <c r="BY14" s="26"/>
      <c r="BZ14" s="24" t="n">
        <v>10</v>
      </c>
      <c r="CA14" s="24"/>
      <c r="CB14" s="24"/>
      <c r="CC14" s="24"/>
      <c r="CD14" s="24"/>
      <c r="CE14" s="24"/>
      <c r="CF14" s="24"/>
      <c r="CG14" s="24"/>
    </row>
    <row r="15" customFormat="false" ht="57" hidden="false" customHeight="true" outlineLevel="0" collapsed="false">
      <c r="A15" s="17" t="s">
        <v>58</v>
      </c>
      <c r="B15" s="17"/>
      <c r="C15" s="17"/>
      <c r="D15" s="17"/>
      <c r="E15" s="17"/>
      <c r="F15" s="17"/>
      <c r="G15" s="18" t="s">
        <v>15</v>
      </c>
      <c r="H15" s="18"/>
      <c r="I15" s="18"/>
      <c r="J15" s="18"/>
      <c r="K15" s="26" t="s">
        <v>59</v>
      </c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0" t="s">
        <v>17</v>
      </c>
      <c r="AP15" s="20" t="s">
        <v>18</v>
      </c>
      <c r="AQ15" s="21" t="s">
        <v>19</v>
      </c>
      <c r="AR15" s="21"/>
      <c r="AS15" s="21"/>
      <c r="AT15" s="21"/>
      <c r="AU15" s="21" t="s">
        <v>60</v>
      </c>
      <c r="AV15" s="21"/>
      <c r="AW15" s="21"/>
      <c r="AX15" s="21"/>
      <c r="AY15" s="21"/>
      <c r="AZ15" s="21"/>
      <c r="BA15" s="21"/>
      <c r="BB15" s="21"/>
      <c r="BC15" s="21"/>
      <c r="BD15" s="22" t="s">
        <v>61</v>
      </c>
      <c r="BE15" s="22"/>
      <c r="BF15" s="22"/>
      <c r="BG15" s="23" t="str">
        <f aca="false">IFERROR(VLOOKUP('Cash ABC+ACZ'!BD15,Lookups111!A$4:B$38,2,FALSE()),"")</f>
        <v>Cari gecikma</v>
      </c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6"/>
      <c r="BV15" s="26"/>
      <c r="BW15" s="26"/>
      <c r="BX15" s="26"/>
      <c r="BY15" s="26"/>
      <c r="BZ15" s="24" t="n">
        <v>11</v>
      </c>
      <c r="CA15" s="24"/>
      <c r="CB15" s="24"/>
      <c r="CC15" s="24"/>
      <c r="CD15" s="24"/>
      <c r="CE15" s="24"/>
      <c r="CF15" s="24"/>
      <c r="CG15" s="24"/>
    </row>
    <row r="16" s="29" customFormat="true" ht="20.25" hidden="false" customHeight="true" outlineLevel="0" collapsed="false">
      <c r="A16" s="28" t="s">
        <v>62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</row>
    <row r="17" customFormat="false" ht="15" hidden="false" customHeight="true" outlineLevel="0" collapsed="false">
      <c r="A17" s="18" t="s">
        <v>63</v>
      </c>
      <c r="B17" s="18"/>
      <c r="C17" s="18"/>
      <c r="D17" s="18"/>
      <c r="E17" s="18"/>
      <c r="F17" s="18"/>
      <c r="G17" s="18" t="s">
        <v>15</v>
      </c>
      <c r="H17" s="18"/>
      <c r="I17" s="18"/>
      <c r="J17" s="18"/>
      <c r="K17" s="23" t="s">
        <v>64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 t="s">
        <v>65</v>
      </c>
      <c r="AA17" s="23"/>
      <c r="AB17" s="23"/>
      <c r="AC17" s="23"/>
      <c r="AD17" s="23"/>
      <c r="AE17" s="23"/>
      <c r="AF17" s="23"/>
      <c r="AG17" s="23"/>
      <c r="AH17" s="23"/>
      <c r="AI17" s="30" t="n">
        <v>20</v>
      </c>
      <c r="AJ17" s="30"/>
      <c r="AK17" s="30"/>
      <c r="AL17" s="30"/>
      <c r="AM17" s="30"/>
      <c r="AN17" s="30"/>
      <c r="AO17" s="20" t="s">
        <v>66</v>
      </c>
      <c r="AP17" s="20" t="s">
        <v>18</v>
      </c>
      <c r="AQ17" s="21" t="s">
        <v>19</v>
      </c>
      <c r="AR17" s="21"/>
      <c r="AS17" s="21"/>
      <c r="AT17" s="21"/>
      <c r="AU17" s="21" t="s">
        <v>64</v>
      </c>
      <c r="AV17" s="21"/>
      <c r="AW17" s="21"/>
      <c r="AX17" s="21"/>
      <c r="AY17" s="21"/>
      <c r="AZ17" s="21"/>
      <c r="BA17" s="21"/>
      <c r="BB17" s="21"/>
      <c r="BC17" s="21"/>
      <c r="BD17" s="22" t="s">
        <v>67</v>
      </c>
      <c r="BE17" s="22"/>
      <c r="BF17" s="22"/>
      <c r="BG17" s="23" t="str">
        <f aca="false">IFERROR(VLOOKUP(BD17,Lookups111!A$4:B$38,2,FALSE()),"")</f>
        <v>Yaş həddi</v>
      </c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31"/>
      <c r="BV17" s="31"/>
      <c r="BW17" s="31"/>
      <c r="BX17" s="31"/>
      <c r="BY17" s="31"/>
      <c r="BZ17" s="32" t="n">
        <v>1</v>
      </c>
      <c r="CA17" s="32"/>
      <c r="CB17" s="32"/>
      <c r="CC17" s="32"/>
      <c r="CD17" s="32"/>
      <c r="CE17" s="32"/>
      <c r="CF17" s="32"/>
      <c r="CG17" s="32"/>
    </row>
    <row r="18" customFormat="false" ht="69" hidden="false" customHeight="true" outlineLevel="0" collapsed="false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 t="s">
        <v>68</v>
      </c>
      <c r="AA18" s="23"/>
      <c r="AB18" s="23"/>
      <c r="AC18" s="23"/>
      <c r="AD18" s="23"/>
      <c r="AE18" s="23"/>
      <c r="AF18" s="23"/>
      <c r="AG18" s="23"/>
      <c r="AH18" s="23"/>
      <c r="AI18" s="30" t="n">
        <v>65</v>
      </c>
      <c r="AJ18" s="30"/>
      <c r="AK18" s="30"/>
      <c r="AL18" s="30"/>
      <c r="AM18" s="30"/>
      <c r="AN18" s="30"/>
      <c r="AO18" s="20"/>
      <c r="AP18" s="20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2"/>
      <c r="BE18" s="22"/>
      <c r="BF18" s="22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31"/>
      <c r="BV18" s="31"/>
      <c r="BW18" s="31"/>
      <c r="BX18" s="31"/>
      <c r="BY18" s="31"/>
      <c r="BZ18" s="32"/>
      <c r="CA18" s="32"/>
      <c r="CB18" s="32"/>
      <c r="CC18" s="32"/>
      <c r="CD18" s="32"/>
      <c r="CE18" s="32"/>
      <c r="CF18" s="32"/>
      <c r="CG18" s="32"/>
    </row>
    <row r="19" s="29" customFormat="true" ht="20.25" hidden="false" customHeight="true" outlineLevel="0" collapsed="false">
      <c r="A19" s="28" t="s">
        <v>69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33" t="s">
        <v>11</v>
      </c>
      <c r="AP19" s="34" t="s">
        <v>12</v>
      </c>
      <c r="AQ19" s="34" t="s">
        <v>13</v>
      </c>
      <c r="AR19" s="34"/>
      <c r="AS19" s="34"/>
      <c r="AT19" s="34"/>
      <c r="AU19" s="35"/>
      <c r="AV19" s="35"/>
      <c r="AW19" s="35"/>
      <c r="AX19" s="35"/>
      <c r="AY19" s="35"/>
      <c r="AZ19" s="35"/>
      <c r="BA19" s="35"/>
      <c r="BB19" s="35"/>
      <c r="BC19" s="35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</row>
    <row r="20" customFormat="false" ht="68.25" hidden="false" customHeight="true" outlineLevel="0" collapsed="false">
      <c r="A20" s="20" t="s">
        <v>70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 t="s">
        <v>17</v>
      </c>
      <c r="AP20" s="20" t="s">
        <v>18</v>
      </c>
      <c r="AQ20" s="21" t="s">
        <v>19</v>
      </c>
      <c r="AR20" s="21"/>
      <c r="AS20" s="21"/>
      <c r="AT20" s="21"/>
      <c r="AU20" s="21" t="s">
        <v>71</v>
      </c>
      <c r="AV20" s="21"/>
      <c r="AW20" s="21"/>
      <c r="AX20" s="21"/>
      <c r="AY20" s="21"/>
      <c r="AZ20" s="21"/>
      <c r="BA20" s="21"/>
      <c r="BB20" s="21"/>
      <c r="BC20" s="21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36"/>
      <c r="CG20" s="36"/>
    </row>
    <row r="21" customFormat="false" ht="78" hidden="false" customHeight="true" outlineLevel="0" collapsed="false">
      <c r="A21" s="20" t="s">
        <v>72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 t="s">
        <v>17</v>
      </c>
      <c r="AP21" s="20" t="s">
        <v>18</v>
      </c>
      <c r="AQ21" s="21" t="s">
        <v>19</v>
      </c>
      <c r="AR21" s="21"/>
      <c r="AS21" s="21"/>
      <c r="AT21" s="21"/>
      <c r="AU21" s="21" t="s">
        <v>72</v>
      </c>
      <c r="AV21" s="21"/>
      <c r="AW21" s="21"/>
      <c r="AX21" s="21"/>
      <c r="AY21" s="21"/>
      <c r="AZ21" s="21"/>
      <c r="BA21" s="21"/>
      <c r="BB21" s="21"/>
      <c r="BC21" s="21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6"/>
    </row>
    <row r="22" customFormat="false" ht="68.25" hidden="false" customHeight="true" outlineLevel="0" collapsed="false">
      <c r="A22" s="20" t="s">
        <v>73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 t="s">
        <v>17</v>
      </c>
      <c r="AP22" s="20" t="s">
        <v>18</v>
      </c>
      <c r="AQ22" s="21" t="s">
        <v>19</v>
      </c>
      <c r="AR22" s="21"/>
      <c r="AS22" s="21"/>
      <c r="AT22" s="21"/>
      <c r="AU22" s="21" t="s">
        <v>73</v>
      </c>
      <c r="AV22" s="21"/>
      <c r="AW22" s="21"/>
      <c r="AX22" s="21"/>
      <c r="AY22" s="21"/>
      <c r="AZ22" s="21"/>
      <c r="BA22" s="21"/>
      <c r="BB22" s="21"/>
      <c r="BC22" s="21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</row>
    <row r="23" customFormat="false" ht="51.75" hidden="false" customHeight="true" outlineLevel="0" collapsed="false">
      <c r="A23" s="20" t="s">
        <v>74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 t="s">
        <v>75</v>
      </c>
      <c r="AP23" s="20" t="s">
        <v>66</v>
      </c>
      <c r="AQ23" s="21" t="s">
        <v>76</v>
      </c>
      <c r="AR23" s="21"/>
      <c r="AS23" s="21"/>
      <c r="AT23" s="21"/>
      <c r="AU23" s="37"/>
      <c r="AV23" s="38"/>
      <c r="AW23" s="38"/>
      <c r="AX23" s="38"/>
      <c r="AY23" s="38"/>
      <c r="AZ23" s="38"/>
      <c r="BA23" s="38"/>
      <c r="BB23" s="38"/>
      <c r="BC23" s="39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  <c r="BS23" s="36"/>
      <c r="BT23" s="36"/>
      <c r="BU23" s="36"/>
      <c r="BV23" s="36"/>
      <c r="BW23" s="36"/>
      <c r="BX23" s="36"/>
      <c r="BY23" s="36"/>
      <c r="BZ23" s="36"/>
      <c r="CA23" s="36"/>
      <c r="CB23" s="36"/>
      <c r="CC23" s="36"/>
      <c r="CD23" s="36"/>
      <c r="CE23" s="36"/>
      <c r="CF23" s="36"/>
      <c r="CG23" s="36"/>
    </row>
    <row r="24" customFormat="false" ht="51" hidden="false" customHeight="true" outlineLevel="0" collapsed="false">
      <c r="A24" s="20" t="s">
        <v>77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 t="s">
        <v>75</v>
      </c>
      <c r="AP24" s="20" t="s">
        <v>66</v>
      </c>
      <c r="AQ24" s="21" t="s">
        <v>78</v>
      </c>
      <c r="AR24" s="21"/>
      <c r="AS24" s="21"/>
      <c r="AT24" s="21"/>
      <c r="AU24" s="37"/>
      <c r="AV24" s="38"/>
      <c r="AW24" s="38"/>
      <c r="AX24" s="38"/>
      <c r="AY24" s="38"/>
      <c r="AZ24" s="38"/>
      <c r="BA24" s="38"/>
      <c r="BB24" s="38"/>
      <c r="BC24" s="39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  <c r="BP24" s="36"/>
      <c r="BQ24" s="36"/>
      <c r="BR24" s="36"/>
      <c r="BS24" s="36"/>
      <c r="BT24" s="36"/>
      <c r="BU24" s="36"/>
      <c r="BV24" s="36"/>
      <c r="BW24" s="36"/>
      <c r="BX24" s="36"/>
      <c r="BY24" s="36"/>
      <c r="BZ24" s="36"/>
      <c r="CA24" s="36"/>
      <c r="CB24" s="36"/>
      <c r="CC24" s="36"/>
      <c r="CD24" s="36"/>
      <c r="CE24" s="36"/>
      <c r="CF24" s="36"/>
      <c r="CG24" s="36"/>
    </row>
    <row r="25" customFormat="false" ht="51" hidden="false" customHeight="true" outlineLevel="0" collapsed="false">
      <c r="A25" s="20" t="s">
        <v>79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 t="s">
        <v>75</v>
      </c>
      <c r="AP25" s="20" t="s">
        <v>66</v>
      </c>
      <c r="AQ25" s="21" t="s">
        <v>80</v>
      </c>
      <c r="AR25" s="21"/>
      <c r="AS25" s="21"/>
      <c r="AT25" s="21"/>
      <c r="AU25" s="37"/>
      <c r="AV25" s="38"/>
      <c r="AW25" s="38"/>
      <c r="AX25" s="38"/>
      <c r="AY25" s="38"/>
      <c r="AZ25" s="38"/>
      <c r="BA25" s="38"/>
      <c r="BB25" s="38"/>
      <c r="BC25" s="39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</row>
    <row r="26" customFormat="false" ht="51" hidden="false" customHeight="true" outlineLevel="0" collapsed="false">
      <c r="A26" s="20" t="s">
        <v>81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 t="s">
        <v>75</v>
      </c>
      <c r="AP26" s="20" t="s">
        <v>66</v>
      </c>
      <c r="AQ26" s="21" t="s">
        <v>82</v>
      </c>
      <c r="AR26" s="21"/>
      <c r="AS26" s="21"/>
      <c r="AT26" s="21"/>
      <c r="AU26" s="37"/>
      <c r="AV26" s="38"/>
      <c r="AW26" s="38"/>
      <c r="AX26" s="38"/>
      <c r="AY26" s="38"/>
      <c r="AZ26" s="38"/>
      <c r="BA26" s="38"/>
      <c r="BB26" s="38"/>
      <c r="BC26" s="39"/>
      <c r="BD26" s="36"/>
      <c r="BE26" s="36"/>
      <c r="BF26" s="36"/>
      <c r="BG26" s="36"/>
      <c r="BH26" s="36"/>
      <c r="BI26" s="36"/>
      <c r="BJ26" s="36"/>
      <c r="BK26" s="36"/>
      <c r="BL26" s="36"/>
      <c r="BM26" s="36"/>
      <c r="BN26" s="36"/>
      <c r="BO26" s="36"/>
      <c r="BP26" s="36"/>
      <c r="BQ26" s="36"/>
      <c r="BR26" s="36"/>
      <c r="BS26" s="36"/>
      <c r="BT26" s="36"/>
      <c r="BU26" s="36"/>
      <c r="BV26" s="36"/>
      <c r="BW26" s="36"/>
      <c r="BX26" s="36"/>
      <c r="BY26" s="36"/>
      <c r="BZ26" s="36"/>
      <c r="CA26" s="36"/>
      <c r="CB26" s="36"/>
      <c r="CC26" s="36"/>
      <c r="CD26" s="36"/>
      <c r="CE26" s="36"/>
      <c r="CF26" s="36"/>
      <c r="CG26" s="36"/>
    </row>
    <row r="27" customFormat="false" ht="30" hidden="false" customHeight="true" outlineLevel="0" collapsed="false">
      <c r="A27" s="20" t="s">
        <v>83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 t="s">
        <v>75</v>
      </c>
      <c r="AP27" s="20" t="s">
        <v>66</v>
      </c>
      <c r="AQ27" s="21" t="s">
        <v>84</v>
      </c>
      <c r="AR27" s="21"/>
      <c r="AS27" s="21"/>
      <c r="AT27" s="21"/>
      <c r="AU27" s="37"/>
      <c r="AV27" s="38"/>
      <c r="AW27" s="38"/>
      <c r="AX27" s="38"/>
      <c r="AY27" s="38"/>
      <c r="AZ27" s="38"/>
      <c r="BA27" s="38"/>
      <c r="BB27" s="38"/>
      <c r="BC27" s="39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  <c r="BY27" s="36"/>
      <c r="BZ27" s="36"/>
      <c r="CA27" s="36"/>
      <c r="CB27" s="36"/>
      <c r="CC27" s="36"/>
      <c r="CD27" s="36"/>
      <c r="CE27" s="36"/>
      <c r="CF27" s="36"/>
      <c r="CG27" s="36"/>
    </row>
    <row r="28" customFormat="false" ht="63" hidden="false" customHeight="true" outlineLevel="0" collapsed="false">
      <c r="A28" s="20" t="s">
        <v>85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 t="s">
        <v>17</v>
      </c>
      <c r="AP28" s="20" t="s">
        <v>18</v>
      </c>
      <c r="AQ28" s="21" t="s">
        <v>19</v>
      </c>
      <c r="AR28" s="21"/>
      <c r="AS28" s="21"/>
      <c r="AT28" s="21"/>
      <c r="AU28" s="37"/>
      <c r="AV28" s="40"/>
      <c r="AW28" s="40"/>
      <c r="AX28" s="40"/>
      <c r="AY28" s="40"/>
      <c r="AZ28" s="40"/>
      <c r="BA28" s="40"/>
      <c r="BB28" s="40"/>
      <c r="BC28" s="41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  <c r="BS28" s="36"/>
      <c r="BT28" s="36"/>
      <c r="BU28" s="36"/>
      <c r="BV28" s="36"/>
      <c r="BW28" s="36"/>
      <c r="BX28" s="36"/>
      <c r="BY28" s="36"/>
      <c r="BZ28" s="36"/>
      <c r="CA28" s="36"/>
      <c r="CB28" s="36"/>
      <c r="CC28" s="36"/>
      <c r="CD28" s="36"/>
      <c r="CE28" s="36"/>
      <c r="CF28" s="36"/>
      <c r="CG28" s="36"/>
    </row>
    <row r="29" customFormat="false" ht="33.75" hidden="false" customHeight="true" outlineLevel="0" collapsed="false">
      <c r="A29" s="20" t="s">
        <v>86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 t="s">
        <v>75</v>
      </c>
      <c r="AP29" s="20" t="s">
        <v>66</v>
      </c>
      <c r="AQ29" s="21" t="s">
        <v>87</v>
      </c>
      <c r="AR29" s="21"/>
      <c r="AS29" s="21"/>
      <c r="AT29" s="21"/>
      <c r="AU29" s="37"/>
      <c r="AV29" s="40"/>
      <c r="AW29" s="40"/>
      <c r="AX29" s="40"/>
      <c r="AY29" s="40"/>
      <c r="AZ29" s="40"/>
      <c r="BA29" s="40"/>
      <c r="BB29" s="40"/>
      <c r="BC29" s="41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  <c r="BW29" s="36"/>
      <c r="BX29" s="36"/>
      <c r="BY29" s="36"/>
      <c r="BZ29" s="36"/>
      <c r="CA29" s="36"/>
      <c r="CB29" s="36"/>
      <c r="CC29" s="36"/>
      <c r="CD29" s="36"/>
      <c r="CE29" s="36"/>
      <c r="CF29" s="36"/>
      <c r="CG29" s="36"/>
    </row>
    <row r="30" customFormat="false" ht="48.75" hidden="false" customHeight="true" outlineLevel="0" collapsed="false">
      <c r="A30" s="20" t="s">
        <v>88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 t="s">
        <v>89</v>
      </c>
      <c r="AP30" s="20" t="s">
        <v>66</v>
      </c>
      <c r="AQ30" s="21" t="s">
        <v>90</v>
      </c>
      <c r="AR30" s="21"/>
      <c r="AS30" s="21"/>
      <c r="AT30" s="21"/>
      <c r="AU30" s="37"/>
      <c r="AV30" s="40"/>
      <c r="AW30" s="40"/>
      <c r="AX30" s="40"/>
      <c r="AY30" s="40"/>
      <c r="AZ30" s="40"/>
      <c r="BA30" s="40"/>
      <c r="BB30" s="40"/>
      <c r="BC30" s="41"/>
      <c r="BD30" s="36"/>
      <c r="BE30" s="36"/>
      <c r="BF30" s="36"/>
      <c r="BG30" s="36"/>
      <c r="BH30" s="36"/>
      <c r="BI30" s="36"/>
      <c r="BJ30" s="36"/>
      <c r="BK30" s="36"/>
      <c r="BL30" s="36"/>
      <c r="BM30" s="36"/>
      <c r="BN30" s="36"/>
      <c r="BO30" s="36"/>
      <c r="BP30" s="36"/>
      <c r="BQ30" s="36"/>
      <c r="BR30" s="36"/>
      <c r="BS30" s="36"/>
      <c r="BT30" s="36"/>
      <c r="BU30" s="36"/>
      <c r="BV30" s="36"/>
      <c r="BW30" s="36"/>
      <c r="BX30" s="36"/>
      <c r="BY30" s="36"/>
      <c r="BZ30" s="36"/>
      <c r="CA30" s="36"/>
      <c r="CB30" s="36"/>
      <c r="CC30" s="36"/>
      <c r="CD30" s="36"/>
      <c r="CE30" s="36"/>
      <c r="CF30" s="36"/>
      <c r="CG30" s="36"/>
    </row>
    <row r="31" customFormat="false" ht="15" hidden="false" customHeight="true" outlineLevel="0" collapsed="false">
      <c r="A31" s="18" t="s">
        <v>91</v>
      </c>
      <c r="B31" s="18"/>
      <c r="C31" s="18"/>
      <c r="D31" s="18"/>
      <c r="E31" s="18"/>
      <c r="F31" s="18"/>
      <c r="G31" s="18" t="s">
        <v>15</v>
      </c>
      <c r="H31" s="18"/>
      <c r="I31" s="18"/>
      <c r="J31" s="18"/>
      <c r="K31" s="42" t="s">
        <v>92</v>
      </c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23" t="s">
        <v>93</v>
      </c>
      <c r="AA31" s="23"/>
      <c r="AB31" s="23"/>
      <c r="AC31" s="23"/>
      <c r="AD31" s="23"/>
      <c r="AE31" s="23"/>
      <c r="AF31" s="23"/>
      <c r="AG31" s="23"/>
      <c r="AH31" s="23"/>
      <c r="AI31" s="43" t="n">
        <v>200</v>
      </c>
      <c r="AJ31" s="43"/>
      <c r="AK31" s="43"/>
      <c r="AL31" s="43"/>
      <c r="AM31" s="43"/>
      <c r="AN31" s="43"/>
      <c r="AO31" s="20" t="s">
        <v>17</v>
      </c>
      <c r="AP31" s="20" t="s">
        <v>18</v>
      </c>
      <c r="AQ31" s="20" t="s">
        <v>94</v>
      </c>
      <c r="AR31" s="20"/>
      <c r="AS31" s="20"/>
      <c r="AT31" s="20"/>
      <c r="AU31" s="20" t="s">
        <v>95</v>
      </c>
      <c r="AV31" s="20"/>
      <c r="AW31" s="20"/>
      <c r="AX31" s="20"/>
      <c r="AY31" s="20"/>
      <c r="AZ31" s="20"/>
      <c r="BA31" s="20"/>
      <c r="BB31" s="20"/>
      <c r="BC31" s="20"/>
      <c r="BD31" s="31" t="s">
        <v>96</v>
      </c>
      <c r="BE31" s="31"/>
      <c r="BF31" s="31"/>
      <c r="BG31" s="42" t="str">
        <f aca="false">IFERROR(VLOOKUP(BD31,Lookups111!A$4:B$38,2,FALSE()),"")</f>
        <v>Embafinans skoring balı 200-dən aşağıdır</v>
      </c>
      <c r="BH31" s="42"/>
      <c r="BI31" s="42"/>
      <c r="BJ31" s="42"/>
      <c r="BK31" s="42"/>
      <c r="BL31" s="42"/>
      <c r="BM31" s="42"/>
      <c r="BN31" s="42"/>
      <c r="BO31" s="42"/>
      <c r="BP31" s="42"/>
      <c r="BQ31" s="42"/>
      <c r="BR31" s="42"/>
      <c r="BS31" s="42"/>
      <c r="BT31" s="42"/>
      <c r="BU31" s="22"/>
      <c r="BV31" s="22"/>
      <c r="BW31" s="22"/>
      <c r="BX31" s="22"/>
      <c r="BY31" s="22"/>
      <c r="BZ31" s="32" t="n">
        <v>2</v>
      </c>
      <c r="CA31" s="32"/>
      <c r="CB31" s="32"/>
      <c r="CC31" s="32"/>
      <c r="CD31" s="32"/>
      <c r="CE31" s="32"/>
      <c r="CF31" s="32"/>
      <c r="CG31" s="32"/>
    </row>
    <row r="32" customFormat="false" ht="15" hidden="false" customHeight="true" outlineLevel="0" collapsed="false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23"/>
      <c r="AA32" s="23"/>
      <c r="AB32" s="23"/>
      <c r="AC32" s="23"/>
      <c r="AD32" s="23"/>
      <c r="AE32" s="23"/>
      <c r="AF32" s="23"/>
      <c r="AG32" s="23"/>
      <c r="AH32" s="23"/>
      <c r="AI32" s="43"/>
      <c r="AJ32" s="43"/>
      <c r="AK32" s="43"/>
      <c r="AL32" s="43"/>
      <c r="AM32" s="43"/>
      <c r="AN32" s="43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31"/>
      <c r="BE32" s="31"/>
      <c r="BF32" s="31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22"/>
      <c r="BV32" s="22"/>
      <c r="BW32" s="22"/>
      <c r="BX32" s="22"/>
      <c r="BY32" s="22"/>
      <c r="BZ32" s="32"/>
      <c r="CA32" s="32"/>
      <c r="CB32" s="32"/>
      <c r="CC32" s="32"/>
      <c r="CD32" s="32"/>
      <c r="CE32" s="32"/>
      <c r="CF32" s="32"/>
      <c r="CG32" s="32"/>
    </row>
    <row r="33" s="29" customFormat="true" ht="20.25" hidden="false" customHeight="true" outlineLevel="0" collapsed="false">
      <c r="A33" s="28" t="s">
        <v>97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44" t="s">
        <v>11</v>
      </c>
      <c r="AP33" s="45" t="s">
        <v>12</v>
      </c>
      <c r="AQ33" s="46" t="s">
        <v>13</v>
      </c>
      <c r="AR33" s="47"/>
      <c r="AS33" s="47"/>
      <c r="AT33" s="47"/>
      <c r="AU33" s="48" t="s">
        <v>98</v>
      </c>
      <c r="AV33" s="48"/>
      <c r="AW33" s="48"/>
      <c r="AX33" s="48"/>
      <c r="AY33" s="48"/>
      <c r="AZ33" s="48"/>
      <c r="BA33" s="48"/>
      <c r="BB33" s="48"/>
      <c r="BC33" s="4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28"/>
      <c r="CB33" s="28"/>
      <c r="CC33" s="28"/>
      <c r="CD33" s="28"/>
      <c r="CE33" s="28"/>
      <c r="CF33" s="28"/>
      <c r="CG33" s="28"/>
    </row>
    <row r="34" customFormat="false" ht="21.75" hidden="false" customHeight="true" outlineLevel="0" collapsed="false">
      <c r="A34" s="18" t="s">
        <v>99</v>
      </c>
      <c r="B34" s="18"/>
      <c r="C34" s="18"/>
      <c r="D34" s="18"/>
      <c r="E34" s="18"/>
      <c r="F34" s="18"/>
      <c r="G34" s="18" t="s">
        <v>15</v>
      </c>
      <c r="H34" s="18"/>
      <c r="I34" s="18"/>
      <c r="J34" s="18"/>
      <c r="K34" s="42" t="s">
        <v>100</v>
      </c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23" t="s">
        <v>101</v>
      </c>
      <c r="AA34" s="23"/>
      <c r="AB34" s="23"/>
      <c r="AC34" s="23"/>
      <c r="AD34" s="23"/>
      <c r="AE34" s="23"/>
      <c r="AF34" s="23"/>
      <c r="AG34" s="23"/>
      <c r="AH34" s="23"/>
      <c r="AI34" s="30" t="n">
        <v>24</v>
      </c>
      <c r="AJ34" s="30"/>
      <c r="AK34" s="30"/>
      <c r="AL34" s="30"/>
      <c r="AM34" s="30"/>
      <c r="AN34" s="30"/>
      <c r="AO34" s="21" t="s">
        <v>66</v>
      </c>
      <c r="AP34" s="21" t="s">
        <v>18</v>
      </c>
      <c r="AQ34" s="21" t="s">
        <v>87</v>
      </c>
      <c r="AR34" s="21"/>
      <c r="AS34" s="21"/>
      <c r="AT34" s="21"/>
      <c r="AU34" s="21" t="s">
        <v>102</v>
      </c>
      <c r="AV34" s="21"/>
      <c r="AW34" s="21"/>
      <c r="AX34" s="21"/>
      <c r="AY34" s="21"/>
      <c r="AZ34" s="21"/>
      <c r="BA34" s="21"/>
      <c r="BB34" s="21"/>
      <c r="BC34" s="21"/>
      <c r="BD34" s="22" t="s">
        <v>103</v>
      </c>
      <c r="BE34" s="22"/>
      <c r="BF34" s="22"/>
      <c r="BG34" s="23" t="str">
        <f aca="false">IFERROR(VLOOKUP(BD34,Lookups111!A$4:B$38,2,FALSE()),"")</f>
        <v>Maks gecikma 35+ gün (Son 24 ay)</v>
      </c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2"/>
      <c r="BV34" s="22"/>
      <c r="BW34" s="22"/>
      <c r="BX34" s="22"/>
      <c r="BY34" s="22"/>
      <c r="BZ34" s="32" t="n">
        <v>1</v>
      </c>
      <c r="CA34" s="32"/>
      <c r="CB34" s="32"/>
      <c r="CC34" s="32"/>
      <c r="CD34" s="32"/>
      <c r="CE34" s="32"/>
      <c r="CF34" s="32"/>
      <c r="CG34" s="32"/>
    </row>
    <row r="35" customFormat="false" ht="21.75" hidden="false" customHeight="true" outlineLevel="0" collapsed="false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23" t="s">
        <v>104</v>
      </c>
      <c r="AA35" s="23"/>
      <c r="AB35" s="23"/>
      <c r="AC35" s="23"/>
      <c r="AD35" s="23"/>
      <c r="AE35" s="23"/>
      <c r="AF35" s="23"/>
      <c r="AG35" s="23"/>
      <c r="AH35" s="23"/>
      <c r="AI35" s="30" t="n">
        <v>35</v>
      </c>
      <c r="AJ35" s="30"/>
      <c r="AK35" s="30"/>
      <c r="AL35" s="30"/>
      <c r="AM35" s="30"/>
      <c r="AN35" s="30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2"/>
      <c r="BE35" s="22"/>
      <c r="BF35" s="22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2"/>
      <c r="BV35" s="22"/>
      <c r="BW35" s="22"/>
      <c r="BX35" s="22"/>
      <c r="BY35" s="22"/>
      <c r="BZ35" s="32"/>
      <c r="CA35" s="32"/>
      <c r="CB35" s="32"/>
      <c r="CC35" s="32"/>
      <c r="CD35" s="32"/>
      <c r="CE35" s="32"/>
      <c r="CF35" s="32"/>
      <c r="CG35" s="32"/>
    </row>
    <row r="36" customFormat="false" ht="42.75" hidden="false" customHeight="true" outlineLevel="0" collapsed="false">
      <c r="A36" s="17" t="s">
        <v>105</v>
      </c>
      <c r="B36" s="17"/>
      <c r="C36" s="17"/>
      <c r="D36" s="17"/>
      <c r="E36" s="17"/>
      <c r="F36" s="17"/>
      <c r="G36" s="18" t="s">
        <v>15</v>
      </c>
      <c r="H36" s="18"/>
      <c r="I36" s="18"/>
      <c r="J36" s="18"/>
      <c r="K36" s="26" t="s">
        <v>106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42" t="s">
        <v>107</v>
      </c>
      <c r="AA36" s="42"/>
      <c r="AB36" s="42"/>
      <c r="AC36" s="42"/>
      <c r="AD36" s="42"/>
      <c r="AE36" s="42"/>
      <c r="AF36" s="42"/>
      <c r="AG36" s="42"/>
      <c r="AH36" s="42"/>
      <c r="AI36" s="49" t="n">
        <v>10</v>
      </c>
      <c r="AJ36" s="49"/>
      <c r="AK36" s="49"/>
      <c r="AL36" s="49"/>
      <c r="AM36" s="49"/>
      <c r="AN36" s="49"/>
      <c r="AO36" s="37" t="s">
        <v>66</v>
      </c>
      <c r="AP36" s="37" t="s">
        <v>18</v>
      </c>
      <c r="AQ36" s="21" t="s">
        <v>87</v>
      </c>
      <c r="AR36" s="21"/>
      <c r="AS36" s="21"/>
      <c r="AT36" s="21"/>
      <c r="AU36" s="21" t="s">
        <v>108</v>
      </c>
      <c r="AV36" s="21"/>
      <c r="AW36" s="21"/>
      <c r="AX36" s="21"/>
      <c r="AY36" s="21"/>
      <c r="AZ36" s="21"/>
      <c r="BA36" s="21"/>
      <c r="BB36" s="21"/>
      <c r="BC36" s="21"/>
      <c r="BD36" s="22" t="s">
        <v>109</v>
      </c>
      <c r="BE36" s="22"/>
      <c r="BF36" s="22"/>
      <c r="BG36" s="23" t="str">
        <f aca="false">IFERROR(VLOOKUP('Cash ABC+ACZ'!BD36,Lookups111!A$4:B$38,2,FALSE()),"")</f>
        <v>Cari vaxtı keçmiş qalıq &gt; 10 AZN</v>
      </c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19"/>
      <c r="BV36" s="19"/>
      <c r="BW36" s="19"/>
      <c r="BX36" s="19"/>
      <c r="BY36" s="19"/>
      <c r="BZ36" s="24" t="n">
        <v>2</v>
      </c>
      <c r="CA36" s="24"/>
      <c r="CB36" s="24"/>
      <c r="CC36" s="24"/>
      <c r="CD36" s="24"/>
      <c r="CE36" s="24"/>
      <c r="CF36" s="24"/>
      <c r="CG36" s="24"/>
    </row>
    <row r="37" customFormat="false" ht="15" hidden="false" customHeight="true" outlineLevel="0" collapsed="false">
      <c r="A37" s="18" t="s">
        <v>110</v>
      </c>
      <c r="B37" s="18"/>
      <c r="C37" s="18"/>
      <c r="D37" s="18"/>
      <c r="E37" s="18"/>
      <c r="F37" s="18"/>
      <c r="G37" s="18" t="s">
        <v>15</v>
      </c>
      <c r="H37" s="18"/>
      <c r="I37" s="18"/>
      <c r="J37" s="18"/>
      <c r="K37" s="42" t="s">
        <v>111</v>
      </c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 t="s">
        <v>112</v>
      </c>
      <c r="AA37" s="42"/>
      <c r="AB37" s="42"/>
      <c r="AC37" s="42"/>
      <c r="AD37" s="42"/>
      <c r="AE37" s="42"/>
      <c r="AF37" s="42"/>
      <c r="AG37" s="42"/>
      <c r="AH37" s="42"/>
      <c r="AI37" s="43" t="n">
        <v>10</v>
      </c>
      <c r="AJ37" s="43"/>
      <c r="AK37" s="43"/>
      <c r="AL37" s="43"/>
      <c r="AM37" s="43"/>
      <c r="AN37" s="43"/>
      <c r="AO37" s="21" t="s">
        <v>66</v>
      </c>
      <c r="AP37" s="21" t="s">
        <v>18</v>
      </c>
      <c r="AQ37" s="21" t="s">
        <v>87</v>
      </c>
      <c r="AR37" s="21"/>
      <c r="AS37" s="21"/>
      <c r="AT37" s="21"/>
      <c r="AU37" s="21" t="s">
        <v>111</v>
      </c>
      <c r="AV37" s="21"/>
      <c r="AW37" s="21"/>
      <c r="AX37" s="21"/>
      <c r="AY37" s="21"/>
      <c r="AZ37" s="21"/>
      <c r="BA37" s="21"/>
      <c r="BB37" s="21"/>
      <c r="BC37" s="21"/>
      <c r="BD37" s="22" t="s">
        <v>113</v>
      </c>
      <c r="BE37" s="22"/>
      <c r="BF37" s="22"/>
      <c r="BG37" s="22" t="str">
        <f aca="false">IFERROR(VLOOKUP('Cash ABC+ACZ'!BD37,Lookups111!A$4:B$38,2,FALSE()),"")</f>
        <v>Kredit müqaviləsi bitib</v>
      </c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50" t="n">
        <v>3</v>
      </c>
      <c r="CA37" s="50"/>
      <c r="CB37" s="50"/>
      <c r="CC37" s="50"/>
      <c r="CD37" s="50"/>
      <c r="CE37" s="50"/>
      <c r="CF37" s="50"/>
      <c r="CG37" s="50"/>
    </row>
    <row r="38" customFormat="false" ht="15" hidden="false" customHeight="true" outlineLevel="0" collapsed="false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 t="s">
        <v>114</v>
      </c>
      <c r="AA38" s="42"/>
      <c r="AB38" s="42"/>
      <c r="AC38" s="42"/>
      <c r="AD38" s="42"/>
      <c r="AE38" s="42"/>
      <c r="AF38" s="42"/>
      <c r="AG38" s="42"/>
      <c r="AH38" s="42"/>
      <c r="AI38" s="43" t="n">
        <v>0</v>
      </c>
      <c r="AJ38" s="43"/>
      <c r="AK38" s="43"/>
      <c r="AL38" s="43"/>
      <c r="AM38" s="43"/>
      <c r="AN38" s="43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50"/>
      <c r="CA38" s="50"/>
      <c r="CB38" s="50"/>
      <c r="CC38" s="50"/>
      <c r="CD38" s="50"/>
      <c r="CE38" s="50"/>
      <c r="CF38" s="50"/>
      <c r="CG38" s="50"/>
    </row>
    <row r="39" customFormat="false" ht="28.5" hidden="false" customHeight="true" outlineLevel="0" collapsed="false">
      <c r="A39" s="17" t="s">
        <v>115</v>
      </c>
      <c r="B39" s="17"/>
      <c r="C39" s="17"/>
      <c r="D39" s="17"/>
      <c r="E39" s="17"/>
      <c r="F39" s="17"/>
      <c r="G39" s="51" t="s">
        <v>15</v>
      </c>
      <c r="H39" s="51"/>
      <c r="I39" s="51"/>
      <c r="J39" s="51"/>
      <c r="K39" s="26" t="s">
        <v>116</v>
      </c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37" t="s">
        <v>66</v>
      </c>
      <c r="AP39" s="37" t="s">
        <v>18</v>
      </c>
      <c r="AQ39" s="21" t="s">
        <v>87</v>
      </c>
      <c r="AR39" s="21"/>
      <c r="AS39" s="21"/>
      <c r="AT39" s="21"/>
      <c r="AU39" s="21" t="s">
        <v>117</v>
      </c>
      <c r="AV39" s="21"/>
      <c r="AW39" s="21"/>
      <c r="AX39" s="21"/>
      <c r="AY39" s="21"/>
      <c r="AZ39" s="21"/>
      <c r="BA39" s="21"/>
      <c r="BB39" s="21"/>
      <c r="BC39" s="21"/>
      <c r="BD39" s="22" t="s">
        <v>118</v>
      </c>
      <c r="BE39" s="22"/>
      <c r="BF39" s="22"/>
      <c r="BG39" s="23" t="str">
        <f aca="false">IFERROR(VLOOKUP('Cash ABC+ACZ'!BD39,Lookups111!A$4:B$38,2,FALSE()),"")</f>
        <v>Cari gün gecikməsi</v>
      </c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19"/>
      <c r="BV39" s="19"/>
      <c r="BW39" s="19"/>
      <c r="BX39" s="19"/>
      <c r="BY39" s="19"/>
      <c r="BZ39" s="24" t="n">
        <v>4</v>
      </c>
      <c r="CA39" s="24"/>
      <c r="CB39" s="24"/>
      <c r="CC39" s="24"/>
      <c r="CD39" s="24"/>
      <c r="CE39" s="24"/>
      <c r="CF39" s="24"/>
      <c r="CG39" s="24"/>
      <c r="CN39" s="53"/>
      <c r="CO39" s="53"/>
      <c r="CP39" s="53"/>
      <c r="CQ39" s="53"/>
      <c r="CR39" s="53"/>
      <c r="CS39" s="53"/>
      <c r="CT39" s="53"/>
      <c r="CU39" s="53"/>
      <c r="CV39" s="53"/>
      <c r="CW39" s="53"/>
      <c r="CX39" s="53"/>
      <c r="CY39" s="53"/>
      <c r="CZ39" s="53"/>
      <c r="DA39" s="53"/>
      <c r="DB39" s="53"/>
    </row>
    <row r="40" customFormat="false" ht="15" hidden="false" customHeight="true" outlineLevel="0" collapsed="false">
      <c r="A40" s="18" t="s">
        <v>119</v>
      </c>
      <c r="B40" s="18"/>
      <c r="C40" s="18"/>
      <c r="D40" s="18"/>
      <c r="E40" s="18"/>
      <c r="F40" s="18"/>
      <c r="G40" s="18" t="s">
        <v>15</v>
      </c>
      <c r="H40" s="18"/>
      <c r="I40" s="18"/>
      <c r="J40" s="18"/>
      <c r="K40" s="42" t="s">
        <v>27</v>
      </c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21" t="s">
        <v>66</v>
      </c>
      <c r="AP40" s="21" t="s">
        <v>18</v>
      </c>
      <c r="AQ40" s="21" t="s">
        <v>87</v>
      </c>
      <c r="AR40" s="21"/>
      <c r="AS40" s="21"/>
      <c r="AT40" s="21"/>
      <c r="AU40" s="21" t="s">
        <v>120</v>
      </c>
      <c r="AV40" s="21"/>
      <c r="AW40" s="21"/>
      <c r="AX40" s="21"/>
      <c r="AY40" s="21"/>
      <c r="AZ40" s="21"/>
      <c r="BA40" s="21"/>
      <c r="BB40" s="21"/>
      <c r="BC40" s="21"/>
      <c r="BD40" s="22" t="s">
        <v>121</v>
      </c>
      <c r="BE40" s="22"/>
      <c r="BF40" s="22"/>
      <c r="BG40" s="23" t="str">
        <f aca="false">IFERROR(VLOOKUP('Cash ABC+ACZ'!BD40,Lookups111!A$4:B$38,2,FALSE()),"")</f>
        <v>Gecikma əmsalı &gt; 2%</v>
      </c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32" t="n">
        <v>5</v>
      </c>
      <c r="CA40" s="32"/>
      <c r="CB40" s="32"/>
      <c r="CC40" s="32"/>
      <c r="CD40" s="32"/>
      <c r="CE40" s="32"/>
      <c r="CF40" s="32"/>
      <c r="CG40" s="32"/>
    </row>
    <row r="41" customFormat="false" ht="15" hidden="false" customHeight="true" outlineLevel="0" collapsed="false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2"/>
      <c r="BE41" s="22"/>
      <c r="BF41" s="22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32"/>
      <c r="CA41" s="32"/>
      <c r="CB41" s="32"/>
      <c r="CC41" s="32"/>
      <c r="CD41" s="32"/>
      <c r="CE41" s="32"/>
      <c r="CF41" s="32"/>
      <c r="CG41" s="32"/>
    </row>
    <row r="42" customFormat="false" ht="28.5" hidden="false" customHeight="true" outlineLevel="0" collapsed="false">
      <c r="A42" s="17" t="s">
        <v>122</v>
      </c>
      <c r="B42" s="17"/>
      <c r="C42" s="17"/>
      <c r="D42" s="17"/>
      <c r="E42" s="17"/>
      <c r="F42" s="17"/>
      <c r="G42" s="18" t="s">
        <v>15</v>
      </c>
      <c r="H42" s="18"/>
      <c r="I42" s="18"/>
      <c r="J42" s="18"/>
      <c r="K42" s="26" t="s">
        <v>123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42" t="s">
        <v>124</v>
      </c>
      <c r="AA42" s="42"/>
      <c r="AB42" s="42"/>
      <c r="AC42" s="42"/>
      <c r="AD42" s="42"/>
      <c r="AE42" s="42"/>
      <c r="AF42" s="42"/>
      <c r="AG42" s="42"/>
      <c r="AH42" s="42"/>
      <c r="AI42" s="43" t="n">
        <v>1</v>
      </c>
      <c r="AJ42" s="43"/>
      <c r="AK42" s="43"/>
      <c r="AL42" s="43"/>
      <c r="AM42" s="43"/>
      <c r="AN42" s="43"/>
      <c r="AO42" s="37" t="s">
        <v>66</v>
      </c>
      <c r="AP42" s="37" t="s">
        <v>18</v>
      </c>
      <c r="AQ42" s="21" t="s">
        <v>87</v>
      </c>
      <c r="AR42" s="21"/>
      <c r="AS42" s="21"/>
      <c r="AT42" s="21"/>
      <c r="AU42" s="21" t="s">
        <v>125</v>
      </c>
      <c r="AV42" s="21"/>
      <c r="AW42" s="21"/>
      <c r="AX42" s="21"/>
      <c r="AY42" s="21"/>
      <c r="AZ42" s="21"/>
      <c r="BA42" s="21"/>
      <c r="BB42" s="21"/>
      <c r="BC42" s="21"/>
      <c r="BD42" s="22" t="s">
        <v>126</v>
      </c>
      <c r="BE42" s="22"/>
      <c r="BF42" s="22"/>
      <c r="BG42" s="23" t="str">
        <f aca="false">IFERROR(VLOOKUP('Cash ABC+ACZ'!BD42,Lookups111!A$4:B$38,2,FALSE()),"")</f>
        <v>Aktiv PayDay kreditləri &gt; 1</v>
      </c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19"/>
      <c r="BV42" s="19"/>
      <c r="BW42" s="19"/>
      <c r="BX42" s="19"/>
      <c r="BY42" s="19"/>
      <c r="BZ42" s="24" t="n">
        <v>6</v>
      </c>
      <c r="CA42" s="24"/>
      <c r="CB42" s="24"/>
      <c r="CC42" s="24"/>
      <c r="CD42" s="24"/>
      <c r="CE42" s="24"/>
      <c r="CF42" s="24"/>
      <c r="CG42" s="24"/>
    </row>
    <row r="43" customFormat="false" ht="15" hidden="false" customHeight="true" outlineLevel="0" collapsed="false">
      <c r="A43" s="18" t="s">
        <v>127</v>
      </c>
      <c r="B43" s="18"/>
      <c r="C43" s="18"/>
      <c r="D43" s="18"/>
      <c r="E43" s="18"/>
      <c r="F43" s="18"/>
      <c r="G43" s="18" t="s">
        <v>15</v>
      </c>
      <c r="H43" s="18"/>
      <c r="I43" s="18"/>
      <c r="J43" s="18"/>
      <c r="K43" s="42" t="s">
        <v>128</v>
      </c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23" t="s">
        <v>101</v>
      </c>
      <c r="AA43" s="23"/>
      <c r="AB43" s="23"/>
      <c r="AC43" s="23"/>
      <c r="AD43" s="23"/>
      <c r="AE43" s="23"/>
      <c r="AF43" s="23"/>
      <c r="AG43" s="23"/>
      <c r="AH43" s="23"/>
      <c r="AI43" s="30" t="n">
        <v>1</v>
      </c>
      <c r="AJ43" s="30"/>
      <c r="AK43" s="30"/>
      <c r="AL43" s="30"/>
      <c r="AM43" s="30"/>
      <c r="AN43" s="30"/>
      <c r="AO43" s="21" t="s">
        <v>66</v>
      </c>
      <c r="AP43" s="21" t="s">
        <v>18</v>
      </c>
      <c r="AQ43" s="21" t="s">
        <v>87</v>
      </c>
      <c r="AR43" s="21"/>
      <c r="AS43" s="21"/>
      <c r="AT43" s="21"/>
      <c r="AU43" s="21" t="s">
        <v>129</v>
      </c>
      <c r="AV43" s="21"/>
      <c r="AW43" s="21"/>
      <c r="AX43" s="21"/>
      <c r="AY43" s="21"/>
      <c r="AZ43" s="21"/>
      <c r="BA43" s="21"/>
      <c r="BB43" s="21"/>
      <c r="BC43" s="21"/>
      <c r="BD43" s="22" t="s">
        <v>130</v>
      </c>
      <c r="BE43" s="22"/>
      <c r="BF43" s="22"/>
      <c r="BG43" s="23" t="str">
        <f aca="false">IFERROR(VLOOKUP(BD43,Lookups111!A$4:B$38,2,FALSE()),"")</f>
        <v>Kredit sayı (Son 1 ay) &gt; 2</v>
      </c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2"/>
      <c r="BV43" s="22"/>
      <c r="BW43" s="22"/>
      <c r="BX43" s="22"/>
      <c r="BY43" s="22"/>
      <c r="BZ43" s="32" t="n">
        <v>7</v>
      </c>
      <c r="CA43" s="32"/>
      <c r="CB43" s="32"/>
      <c r="CC43" s="32"/>
      <c r="CD43" s="32"/>
      <c r="CE43" s="32"/>
      <c r="CF43" s="32"/>
      <c r="CG43" s="32"/>
    </row>
    <row r="44" customFormat="false" ht="15" hidden="false" customHeight="true" outlineLevel="0" collapsed="false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23" t="s">
        <v>131</v>
      </c>
      <c r="AA44" s="23"/>
      <c r="AB44" s="23"/>
      <c r="AC44" s="23"/>
      <c r="AD44" s="23"/>
      <c r="AE44" s="23"/>
      <c r="AF44" s="23"/>
      <c r="AG44" s="23"/>
      <c r="AH44" s="23"/>
      <c r="AI44" s="30" t="n">
        <v>2</v>
      </c>
      <c r="AJ44" s="30"/>
      <c r="AK44" s="30"/>
      <c r="AL44" s="30"/>
      <c r="AM44" s="30"/>
      <c r="AN44" s="30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2"/>
      <c r="BE44" s="22"/>
      <c r="BF44" s="22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2"/>
      <c r="BV44" s="22"/>
      <c r="BW44" s="22"/>
      <c r="BX44" s="22"/>
      <c r="BY44" s="22"/>
      <c r="BZ44" s="32"/>
      <c r="CA44" s="32"/>
      <c r="CB44" s="32"/>
      <c r="CC44" s="32"/>
      <c r="CD44" s="32"/>
      <c r="CE44" s="32"/>
      <c r="CF44" s="32"/>
      <c r="CG44" s="32"/>
    </row>
    <row r="45" customFormat="false" ht="15" hidden="false" customHeight="true" outlineLevel="0" collapsed="false">
      <c r="A45" s="18" t="s">
        <v>132</v>
      </c>
      <c r="B45" s="18"/>
      <c r="C45" s="18"/>
      <c r="D45" s="18"/>
      <c r="E45" s="18"/>
      <c r="F45" s="18"/>
      <c r="G45" s="18" t="s">
        <v>15</v>
      </c>
      <c r="H45" s="18"/>
      <c r="I45" s="18"/>
      <c r="J45" s="18"/>
      <c r="K45" s="42" t="s">
        <v>133</v>
      </c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23" t="s">
        <v>101</v>
      </c>
      <c r="AA45" s="23"/>
      <c r="AB45" s="23"/>
      <c r="AC45" s="23"/>
      <c r="AD45" s="23"/>
      <c r="AE45" s="23"/>
      <c r="AF45" s="23"/>
      <c r="AG45" s="23"/>
      <c r="AH45" s="23"/>
      <c r="AI45" s="30" t="n">
        <v>3</v>
      </c>
      <c r="AJ45" s="30"/>
      <c r="AK45" s="30"/>
      <c r="AL45" s="30"/>
      <c r="AM45" s="30"/>
      <c r="AN45" s="30"/>
      <c r="AO45" s="21" t="s">
        <v>66</v>
      </c>
      <c r="AP45" s="21" t="s">
        <v>18</v>
      </c>
      <c r="AQ45" s="21" t="s">
        <v>87</v>
      </c>
      <c r="AR45" s="21"/>
      <c r="AS45" s="21"/>
      <c r="AT45" s="21"/>
      <c r="AU45" s="21" t="s">
        <v>134</v>
      </c>
      <c r="AV45" s="21"/>
      <c r="AW45" s="21"/>
      <c r="AX45" s="21"/>
      <c r="AY45" s="21"/>
      <c r="AZ45" s="21"/>
      <c r="BA45" s="21"/>
      <c r="BB45" s="21"/>
      <c r="BC45" s="21"/>
      <c r="BD45" s="22" t="s">
        <v>135</v>
      </c>
      <c r="BE45" s="22"/>
      <c r="BF45" s="22"/>
      <c r="BG45" s="23" t="str">
        <f aca="false">IFERROR(VLOOKUP(BD45,Lookups111!A$4:B$38,2,FALSE()),"")</f>
        <v>Kredit sayı (Son 3 ay) &gt; 3</v>
      </c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2"/>
      <c r="BV45" s="22"/>
      <c r="BW45" s="22"/>
      <c r="BX45" s="22"/>
      <c r="BY45" s="22"/>
      <c r="BZ45" s="32" t="n">
        <v>8</v>
      </c>
      <c r="CA45" s="32"/>
      <c r="CB45" s="32"/>
      <c r="CC45" s="32"/>
      <c r="CD45" s="32"/>
      <c r="CE45" s="32"/>
      <c r="CF45" s="32"/>
      <c r="CG45" s="32"/>
    </row>
    <row r="46" customFormat="false" ht="15" hidden="false" customHeight="true" outlineLevel="0" collapsed="false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23" t="s">
        <v>131</v>
      </c>
      <c r="AA46" s="23"/>
      <c r="AB46" s="23"/>
      <c r="AC46" s="23"/>
      <c r="AD46" s="23"/>
      <c r="AE46" s="23"/>
      <c r="AF46" s="23"/>
      <c r="AG46" s="23"/>
      <c r="AH46" s="23"/>
      <c r="AI46" s="30" t="n">
        <v>3</v>
      </c>
      <c r="AJ46" s="30"/>
      <c r="AK46" s="30"/>
      <c r="AL46" s="30"/>
      <c r="AM46" s="30"/>
      <c r="AN46" s="30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2"/>
      <c r="BE46" s="22"/>
      <c r="BF46" s="22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2"/>
      <c r="BV46" s="22"/>
      <c r="BW46" s="22"/>
      <c r="BX46" s="22"/>
      <c r="BY46" s="22"/>
      <c r="BZ46" s="32"/>
      <c r="CA46" s="32"/>
      <c r="CB46" s="32"/>
      <c r="CC46" s="32"/>
      <c r="CD46" s="32"/>
      <c r="CE46" s="32"/>
      <c r="CF46" s="32"/>
      <c r="CG46" s="32"/>
    </row>
    <row r="47" s="29" customFormat="true" ht="20.25" hidden="false" customHeight="true" outlineLevel="0" collapsed="false">
      <c r="A47" s="28" t="s">
        <v>136</v>
      </c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  <c r="BN47" s="28"/>
      <c r="BO47" s="28"/>
      <c r="BP47" s="28"/>
      <c r="BQ47" s="28"/>
      <c r="BR47" s="28"/>
      <c r="BS47" s="28"/>
      <c r="BT47" s="28"/>
      <c r="BU47" s="28"/>
      <c r="BV47" s="28"/>
      <c r="BW47" s="28"/>
      <c r="BX47" s="28"/>
      <c r="BY47" s="28"/>
      <c r="BZ47" s="28"/>
      <c r="CA47" s="28"/>
      <c r="CB47" s="28"/>
      <c r="CC47" s="28"/>
      <c r="CD47" s="28"/>
      <c r="CE47" s="28"/>
      <c r="CF47" s="28"/>
      <c r="CG47" s="28"/>
    </row>
    <row r="48" customFormat="false" ht="15" hidden="false" customHeight="true" outlineLevel="0" collapsed="false">
      <c r="A48" s="18" t="s">
        <v>137</v>
      </c>
      <c r="B48" s="18"/>
      <c r="C48" s="18"/>
      <c r="D48" s="18"/>
      <c r="E48" s="18"/>
      <c r="F48" s="18"/>
      <c r="G48" s="18" t="s">
        <v>15</v>
      </c>
      <c r="H48" s="18"/>
      <c r="I48" s="18"/>
      <c r="J48" s="18"/>
      <c r="K48" s="42" t="s">
        <v>138</v>
      </c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21" t="s">
        <v>66</v>
      </c>
      <c r="AP48" s="21" t="s">
        <v>18</v>
      </c>
      <c r="AQ48" s="21" t="s">
        <v>87</v>
      </c>
      <c r="AR48" s="21"/>
      <c r="AS48" s="21"/>
      <c r="AT48" s="21"/>
      <c r="AU48" s="21" t="s">
        <v>139</v>
      </c>
      <c r="AV48" s="21"/>
      <c r="AW48" s="21"/>
      <c r="AX48" s="21"/>
      <c r="AY48" s="21"/>
      <c r="AZ48" s="21"/>
      <c r="BA48" s="21"/>
      <c r="BB48" s="21"/>
      <c r="BC48" s="21"/>
      <c r="BD48" s="22" t="s">
        <v>140</v>
      </c>
      <c r="BE48" s="22"/>
      <c r="BF48" s="22"/>
      <c r="BG48" s="23" t="str">
        <f aca="false">IFERROR(VLOOKUP(BD48,Lookups111!A$4:B$38,2,FALSE()),"")</f>
        <v>Rəsmi iş yeri və pensiya yoxdur</v>
      </c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54"/>
      <c r="BV48" s="54"/>
      <c r="BW48" s="54"/>
      <c r="BX48" s="54"/>
      <c r="BY48" s="54"/>
      <c r="BZ48" s="32" t="n">
        <v>1</v>
      </c>
      <c r="CA48" s="32"/>
      <c r="CB48" s="32"/>
      <c r="CC48" s="32"/>
      <c r="CD48" s="32"/>
      <c r="CE48" s="32"/>
      <c r="CF48" s="32"/>
      <c r="CG48" s="32"/>
    </row>
    <row r="49" customFormat="false" ht="15" hidden="false" customHeight="true" outlineLevel="0" collapsed="false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2"/>
      <c r="BE49" s="22"/>
      <c r="BF49" s="22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54"/>
      <c r="BV49" s="54"/>
      <c r="BW49" s="54"/>
      <c r="BX49" s="54"/>
      <c r="BY49" s="54"/>
      <c r="BZ49" s="32"/>
      <c r="CA49" s="32"/>
      <c r="CB49" s="32"/>
      <c r="CC49" s="32"/>
      <c r="CD49" s="32"/>
      <c r="CE49" s="32"/>
      <c r="CF49" s="32"/>
      <c r="CG49" s="32"/>
    </row>
    <row r="50" customFormat="false" ht="15" hidden="false" customHeight="true" outlineLevel="0" collapsed="false">
      <c r="A50" s="18" t="s">
        <v>141</v>
      </c>
      <c r="B50" s="18"/>
      <c r="C50" s="18"/>
      <c r="D50" s="18"/>
      <c r="E50" s="18"/>
      <c r="F50" s="18"/>
      <c r="G50" s="18" t="s">
        <v>15</v>
      </c>
      <c r="H50" s="18"/>
      <c r="I50" s="18"/>
      <c r="J50" s="18"/>
      <c r="K50" s="42" t="s">
        <v>142</v>
      </c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 t="s">
        <v>143</v>
      </c>
      <c r="AA50" s="42"/>
      <c r="AB50" s="42"/>
      <c r="AC50" s="42"/>
      <c r="AD50" s="42"/>
      <c r="AE50" s="42"/>
      <c r="AF50" s="42"/>
      <c r="AG50" s="42"/>
      <c r="AH50" s="42"/>
      <c r="AI50" s="43" t="n">
        <v>6</v>
      </c>
      <c r="AJ50" s="43"/>
      <c r="AK50" s="43"/>
      <c r="AL50" s="43"/>
      <c r="AM50" s="43"/>
      <c r="AN50" s="43"/>
      <c r="AO50" s="21" t="s">
        <v>66</v>
      </c>
      <c r="AP50" s="21" t="s">
        <v>18</v>
      </c>
      <c r="AQ50" s="21" t="s">
        <v>87</v>
      </c>
      <c r="AR50" s="21"/>
      <c r="AS50" s="21"/>
      <c r="AT50" s="21"/>
      <c r="AU50" s="21" t="s">
        <v>144</v>
      </c>
      <c r="AV50" s="21"/>
      <c r="AW50" s="21"/>
      <c r="AX50" s="21"/>
      <c r="AY50" s="21"/>
      <c r="AZ50" s="21"/>
      <c r="BA50" s="21"/>
      <c r="BB50" s="21"/>
      <c r="BC50" s="21"/>
      <c r="BD50" s="22" t="s">
        <v>145</v>
      </c>
      <c r="BE50" s="22"/>
      <c r="BF50" s="22"/>
      <c r="BG50" s="23" t="str">
        <f aca="false">IFERROR(VLOOKUP(BD50,Lookups111!A$4:B$38,2,FALSE()),"")</f>
        <v>Cari iş stajı &lt; 6 ay</v>
      </c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54"/>
      <c r="BV50" s="54"/>
      <c r="BW50" s="54"/>
      <c r="BX50" s="54"/>
      <c r="BY50" s="54"/>
      <c r="BZ50" s="32" t="n">
        <v>2</v>
      </c>
      <c r="CA50" s="32"/>
      <c r="CB50" s="32"/>
      <c r="CC50" s="32"/>
      <c r="CD50" s="32"/>
      <c r="CE50" s="32"/>
      <c r="CF50" s="32"/>
      <c r="CG50" s="32"/>
    </row>
    <row r="51" customFormat="false" ht="15" hidden="false" customHeight="true" outlineLevel="0" collapsed="false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3"/>
      <c r="AJ51" s="43"/>
      <c r="AK51" s="43"/>
      <c r="AL51" s="43"/>
      <c r="AM51" s="43"/>
      <c r="AN51" s="43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2"/>
      <c r="BE51" s="22"/>
      <c r="BF51" s="22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54"/>
      <c r="BV51" s="54"/>
      <c r="BW51" s="54"/>
      <c r="BX51" s="54"/>
      <c r="BY51" s="54"/>
      <c r="BZ51" s="32"/>
      <c r="CA51" s="32"/>
      <c r="CB51" s="32"/>
      <c r="CC51" s="32"/>
      <c r="CD51" s="32"/>
      <c r="CE51" s="32"/>
      <c r="CF51" s="32"/>
      <c r="CG51" s="32"/>
    </row>
    <row r="52" customFormat="false" ht="15" hidden="false" customHeight="true" outlineLevel="0" collapsed="false">
      <c r="A52" s="18" t="s">
        <v>146</v>
      </c>
      <c r="B52" s="18"/>
      <c r="C52" s="18"/>
      <c r="D52" s="18"/>
      <c r="E52" s="18"/>
      <c r="F52" s="18"/>
      <c r="G52" s="18" t="s">
        <v>15</v>
      </c>
      <c r="H52" s="18"/>
      <c r="I52" s="18"/>
      <c r="J52" s="18"/>
      <c r="K52" s="55" t="s">
        <v>147</v>
      </c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42" t="s">
        <v>148</v>
      </c>
      <c r="AA52" s="42"/>
      <c r="AB52" s="42"/>
      <c r="AC52" s="42"/>
      <c r="AD52" s="42"/>
      <c r="AE52" s="42"/>
      <c r="AF52" s="42"/>
      <c r="AG52" s="42"/>
      <c r="AH52" s="42"/>
      <c r="AI52" s="43" t="n">
        <v>10</v>
      </c>
      <c r="AJ52" s="43"/>
      <c r="AK52" s="43"/>
      <c r="AL52" s="43"/>
      <c r="AM52" s="43"/>
      <c r="AN52" s="43"/>
      <c r="AO52" s="21" t="s">
        <v>66</v>
      </c>
      <c r="AP52" s="21" t="s">
        <v>18</v>
      </c>
      <c r="AQ52" s="21" t="s">
        <v>87</v>
      </c>
      <c r="AR52" s="21"/>
      <c r="AS52" s="21"/>
      <c r="AT52" s="21"/>
      <c r="AU52" s="21" t="s">
        <v>149</v>
      </c>
      <c r="AV52" s="21"/>
      <c r="AW52" s="21"/>
      <c r="AX52" s="21"/>
      <c r="AY52" s="21"/>
      <c r="AZ52" s="21"/>
      <c r="BA52" s="21"/>
      <c r="BB52" s="21"/>
      <c r="BC52" s="21"/>
      <c r="BD52" s="22" t="s">
        <v>150</v>
      </c>
      <c r="BE52" s="22"/>
      <c r="BF52" s="22"/>
      <c r="BG52" s="23" t="str">
        <f aca="false">IFERROR(VLOOKUP(BD52,Lookups111!A$4:B$38,2,FALSE()),"")</f>
        <v>Müqavilə bitməsi &lt;= 10 gün</v>
      </c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54"/>
      <c r="BV52" s="54"/>
      <c r="BW52" s="54"/>
      <c r="BX52" s="54"/>
      <c r="BY52" s="54"/>
      <c r="BZ52" s="32" t="n">
        <v>3</v>
      </c>
      <c r="CA52" s="32"/>
      <c r="CB52" s="32"/>
      <c r="CC52" s="32"/>
      <c r="CD52" s="32"/>
      <c r="CE52" s="32"/>
      <c r="CF52" s="32"/>
      <c r="CG52" s="32"/>
    </row>
    <row r="53" customFormat="false" ht="15" hidden="false" customHeight="true" outlineLevel="0" collapsed="false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42"/>
      <c r="AA53" s="42"/>
      <c r="AB53" s="42"/>
      <c r="AC53" s="42"/>
      <c r="AD53" s="42"/>
      <c r="AE53" s="42"/>
      <c r="AF53" s="42"/>
      <c r="AG53" s="42"/>
      <c r="AH53" s="42"/>
      <c r="AI53" s="43"/>
      <c r="AJ53" s="43"/>
      <c r="AK53" s="43"/>
      <c r="AL53" s="43"/>
      <c r="AM53" s="43"/>
      <c r="AN53" s="43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2"/>
      <c r="BE53" s="22"/>
      <c r="BF53" s="22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54"/>
      <c r="BV53" s="54"/>
      <c r="BW53" s="54"/>
      <c r="BX53" s="54"/>
      <c r="BY53" s="54"/>
      <c r="BZ53" s="32"/>
      <c r="CA53" s="32"/>
      <c r="CB53" s="32"/>
      <c r="CC53" s="32"/>
      <c r="CD53" s="32"/>
      <c r="CE53" s="32"/>
      <c r="CF53" s="32"/>
      <c r="CG53" s="32"/>
    </row>
    <row r="54" customFormat="false" ht="28.5" hidden="false" customHeight="true" outlineLevel="0" collapsed="false">
      <c r="A54" s="18" t="s">
        <v>151</v>
      </c>
      <c r="B54" s="18"/>
      <c r="C54" s="18"/>
      <c r="D54" s="18"/>
      <c r="E54" s="18"/>
      <c r="F54" s="18"/>
      <c r="G54" s="18" t="s">
        <v>15</v>
      </c>
      <c r="H54" s="18"/>
      <c r="I54" s="18"/>
      <c r="J54" s="18"/>
      <c r="K54" s="42" t="s">
        <v>152</v>
      </c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 t="s">
        <v>153</v>
      </c>
      <c r="AA54" s="42"/>
      <c r="AB54" s="42"/>
      <c r="AC54" s="42"/>
      <c r="AD54" s="42"/>
      <c r="AE54" s="42"/>
      <c r="AF54" s="42"/>
      <c r="AG54" s="42"/>
      <c r="AH54" s="42"/>
      <c r="AI54" s="56" t="n">
        <v>1.5</v>
      </c>
      <c r="AJ54" s="56"/>
      <c r="AK54" s="56"/>
      <c r="AL54" s="56"/>
      <c r="AM54" s="56"/>
      <c r="AN54" s="56"/>
      <c r="AO54" s="21" t="s">
        <v>66</v>
      </c>
      <c r="AP54" s="21" t="s">
        <v>18</v>
      </c>
      <c r="AQ54" s="21" t="s">
        <v>87</v>
      </c>
      <c r="AR54" s="21"/>
      <c r="AS54" s="21"/>
      <c r="AT54" s="21"/>
      <c r="AU54" s="57" t="s">
        <v>154</v>
      </c>
      <c r="AV54" s="57"/>
      <c r="AW54" s="57"/>
      <c r="AX54" s="57"/>
      <c r="AY54" s="57"/>
      <c r="AZ54" s="57"/>
      <c r="BA54" s="57"/>
      <c r="BB54" s="57"/>
      <c r="BC54" s="57"/>
      <c r="BD54" s="22" t="s">
        <v>155</v>
      </c>
      <c r="BE54" s="22"/>
      <c r="BF54" s="22"/>
      <c r="BG54" s="23" t="str">
        <f aca="false">IFERROR(VLOOKUP(BD54,Lookups111!A$4:B$38,2,FALSE()),"")</f>
        <v>DTI 150%-dən çoxdur</v>
      </c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2"/>
      <c r="BV54" s="22"/>
      <c r="BW54" s="22"/>
      <c r="BX54" s="22"/>
      <c r="BY54" s="22"/>
      <c r="BZ54" s="32" t="n">
        <v>4</v>
      </c>
      <c r="CA54" s="32"/>
      <c r="CB54" s="32"/>
      <c r="CC54" s="32"/>
      <c r="CD54" s="32"/>
      <c r="CE54" s="32"/>
      <c r="CF54" s="32"/>
      <c r="CG54" s="32"/>
    </row>
    <row r="55" customFormat="false" ht="15" hidden="false" customHeight="true" outlineLevel="0" collapsed="false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56"/>
      <c r="AJ55" s="56"/>
      <c r="AK55" s="56"/>
      <c r="AL55" s="56"/>
      <c r="AM55" s="56"/>
      <c r="AN55" s="56"/>
      <c r="AO55" s="21"/>
      <c r="AP55" s="21"/>
      <c r="AQ55" s="21"/>
      <c r="AR55" s="21"/>
      <c r="AS55" s="21"/>
      <c r="AT55" s="21"/>
      <c r="AU55" s="57"/>
      <c r="AV55" s="57"/>
      <c r="AW55" s="57"/>
      <c r="AX55" s="57"/>
      <c r="AY55" s="57"/>
      <c r="AZ55" s="57"/>
      <c r="BA55" s="57"/>
      <c r="BB55" s="57"/>
      <c r="BC55" s="57"/>
      <c r="BD55" s="22"/>
      <c r="BE55" s="22"/>
      <c r="BF55" s="22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2"/>
      <c r="BV55" s="22"/>
      <c r="BW55" s="22"/>
      <c r="BX55" s="22"/>
      <c r="BY55" s="22"/>
      <c r="BZ55" s="32"/>
      <c r="CA55" s="32"/>
      <c r="CB55" s="32"/>
      <c r="CC55" s="32"/>
      <c r="CD55" s="32"/>
      <c r="CE55" s="32"/>
      <c r="CF55" s="32"/>
      <c r="CG55" s="32"/>
    </row>
    <row r="56" customFormat="false" ht="15" hidden="false" customHeight="true" outlineLevel="0" collapsed="false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56"/>
      <c r="AJ56" s="56"/>
      <c r="AK56" s="56"/>
      <c r="AL56" s="56"/>
      <c r="AM56" s="56"/>
      <c r="AN56" s="56"/>
      <c r="AO56" s="21"/>
      <c r="AP56" s="21"/>
      <c r="AQ56" s="21"/>
      <c r="AR56" s="21"/>
      <c r="AS56" s="21"/>
      <c r="AT56" s="21"/>
      <c r="AU56" s="57"/>
      <c r="AV56" s="57"/>
      <c r="AW56" s="57"/>
      <c r="AX56" s="57"/>
      <c r="AY56" s="57"/>
      <c r="AZ56" s="57"/>
      <c r="BA56" s="57"/>
      <c r="BB56" s="57"/>
      <c r="BC56" s="57"/>
      <c r="BD56" s="22"/>
      <c r="BE56" s="22"/>
      <c r="BF56" s="22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2"/>
      <c r="BV56" s="22"/>
      <c r="BW56" s="22"/>
      <c r="BX56" s="22"/>
      <c r="BY56" s="22"/>
      <c r="BZ56" s="32"/>
      <c r="CA56" s="32"/>
      <c r="CB56" s="32"/>
      <c r="CC56" s="32"/>
      <c r="CD56" s="32"/>
      <c r="CE56" s="32"/>
      <c r="CF56" s="32"/>
      <c r="CG56" s="32"/>
    </row>
    <row r="57" s="29" customFormat="true" ht="20.25" hidden="false" customHeight="true" outlineLevel="0" collapsed="false">
      <c r="A57" s="28" t="s">
        <v>156</v>
      </c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8"/>
      <c r="BS57" s="28"/>
      <c r="BT57" s="28"/>
      <c r="BU57" s="28"/>
      <c r="BV57" s="28"/>
      <c r="BW57" s="28"/>
      <c r="BX57" s="28"/>
      <c r="BY57" s="28"/>
      <c r="BZ57" s="28"/>
      <c r="CA57" s="28"/>
      <c r="CB57" s="28"/>
      <c r="CC57" s="28"/>
      <c r="CD57" s="28"/>
      <c r="CE57" s="28"/>
      <c r="CF57" s="28"/>
      <c r="CG57" s="28"/>
    </row>
    <row r="58" customFormat="false" ht="15" hidden="false" customHeight="true" outlineLevel="0" collapsed="false">
      <c r="A58" s="18" t="s">
        <v>157</v>
      </c>
      <c r="B58" s="18"/>
      <c r="C58" s="18"/>
      <c r="D58" s="18"/>
      <c r="E58" s="18"/>
      <c r="F58" s="18"/>
      <c r="G58" s="18" t="s">
        <v>15</v>
      </c>
      <c r="H58" s="18"/>
      <c r="I58" s="18"/>
      <c r="J58" s="18"/>
      <c r="K58" s="42" t="s">
        <v>158</v>
      </c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26" t="s">
        <v>159</v>
      </c>
      <c r="AA58" s="26"/>
      <c r="AB58" s="26"/>
      <c r="AC58" s="26"/>
      <c r="AD58" s="26"/>
      <c r="AE58" s="26"/>
      <c r="AF58" s="26"/>
      <c r="AG58" s="26"/>
      <c r="AH58" s="26"/>
      <c r="AI58" s="31" t="s">
        <v>160</v>
      </c>
      <c r="AJ58" s="31"/>
      <c r="AK58" s="31"/>
      <c r="AL58" s="31"/>
      <c r="AM58" s="31"/>
      <c r="AN58" s="31"/>
      <c r="AO58" s="21" t="s">
        <v>66</v>
      </c>
      <c r="AP58" s="21" t="s">
        <v>18</v>
      </c>
      <c r="AQ58" s="21" t="s">
        <v>87</v>
      </c>
      <c r="AR58" s="21"/>
      <c r="AS58" s="21"/>
      <c r="AT58" s="21"/>
      <c r="AU58" s="57" t="s">
        <v>161</v>
      </c>
      <c r="AV58" s="57"/>
      <c r="AW58" s="57"/>
      <c r="AX58" s="57"/>
      <c r="AY58" s="57"/>
      <c r="AZ58" s="57"/>
      <c r="BA58" s="57"/>
      <c r="BB58" s="57"/>
      <c r="BC58" s="57"/>
      <c r="BD58" s="22" t="s">
        <v>162</v>
      </c>
      <c r="BE58" s="22"/>
      <c r="BF58" s="22"/>
      <c r="BG58" s="23" t="str">
        <f aca="false">IFERROR(VLOOKUP(BD58,Lookups111!A$4:B$38,2,FALSE()),"")</f>
        <v>İş yeri Fiziki şəxs &amp; Tarixçə yoxdur</v>
      </c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2"/>
      <c r="BV58" s="22"/>
      <c r="BW58" s="22"/>
      <c r="BX58" s="22"/>
      <c r="BY58" s="22"/>
      <c r="BZ58" s="32" t="n">
        <v>1</v>
      </c>
      <c r="CA58" s="32"/>
      <c r="CB58" s="32"/>
      <c r="CC58" s="32"/>
      <c r="CD58" s="32"/>
      <c r="CE58" s="32"/>
      <c r="CF58" s="32"/>
      <c r="CG58" s="32"/>
    </row>
    <row r="59" customFormat="false" ht="15" hidden="false" customHeight="true" outlineLevel="0" collapsed="false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26"/>
      <c r="AA59" s="26"/>
      <c r="AB59" s="26"/>
      <c r="AC59" s="26"/>
      <c r="AD59" s="26"/>
      <c r="AE59" s="26"/>
      <c r="AF59" s="26"/>
      <c r="AG59" s="26"/>
      <c r="AH59" s="26"/>
      <c r="AI59" s="31"/>
      <c r="AJ59" s="31"/>
      <c r="AK59" s="31"/>
      <c r="AL59" s="31"/>
      <c r="AM59" s="31"/>
      <c r="AN59" s="31"/>
      <c r="AO59" s="21"/>
      <c r="AP59" s="21"/>
      <c r="AQ59" s="21"/>
      <c r="AR59" s="21"/>
      <c r="AS59" s="21"/>
      <c r="AT59" s="21"/>
      <c r="AU59" s="57"/>
      <c r="AV59" s="57"/>
      <c r="AW59" s="57"/>
      <c r="AX59" s="57"/>
      <c r="AY59" s="57"/>
      <c r="AZ59" s="57"/>
      <c r="BA59" s="57"/>
      <c r="BB59" s="57"/>
      <c r="BC59" s="57"/>
      <c r="BD59" s="22"/>
      <c r="BE59" s="22"/>
      <c r="BF59" s="22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2"/>
      <c r="BV59" s="22"/>
      <c r="BW59" s="22"/>
      <c r="BX59" s="22"/>
      <c r="BY59" s="22"/>
      <c r="BZ59" s="32"/>
      <c r="CA59" s="32"/>
      <c r="CB59" s="32"/>
      <c r="CC59" s="32"/>
      <c r="CD59" s="32"/>
      <c r="CE59" s="32"/>
      <c r="CF59" s="32"/>
      <c r="CG59" s="32"/>
    </row>
    <row r="60" customFormat="false" ht="15" hidden="false" customHeight="true" outlineLevel="0" collapsed="false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26"/>
      <c r="AA60" s="26"/>
      <c r="AB60" s="26"/>
      <c r="AC60" s="26"/>
      <c r="AD60" s="26"/>
      <c r="AE60" s="26"/>
      <c r="AF60" s="26"/>
      <c r="AG60" s="26"/>
      <c r="AH60" s="26"/>
      <c r="AI60" s="31"/>
      <c r="AJ60" s="31"/>
      <c r="AK60" s="31"/>
      <c r="AL60" s="31"/>
      <c r="AM60" s="31"/>
      <c r="AN60" s="31"/>
      <c r="AO60" s="21"/>
      <c r="AP60" s="21"/>
      <c r="AQ60" s="21"/>
      <c r="AR60" s="21"/>
      <c r="AS60" s="21"/>
      <c r="AT60" s="21"/>
      <c r="AU60" s="57"/>
      <c r="AV60" s="57"/>
      <c r="AW60" s="57"/>
      <c r="AX60" s="57"/>
      <c r="AY60" s="57"/>
      <c r="AZ60" s="57"/>
      <c r="BA60" s="57"/>
      <c r="BB60" s="57"/>
      <c r="BC60" s="57"/>
      <c r="BD60" s="22"/>
      <c r="BE60" s="22"/>
      <c r="BF60" s="22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2"/>
      <c r="BV60" s="22"/>
      <c r="BW60" s="22"/>
      <c r="BX60" s="22"/>
      <c r="BY60" s="22"/>
      <c r="BZ60" s="32"/>
      <c r="CA60" s="32"/>
      <c r="CB60" s="32"/>
      <c r="CC60" s="32"/>
      <c r="CD60" s="32"/>
      <c r="CE60" s="32"/>
      <c r="CF60" s="32"/>
      <c r="CG60" s="32"/>
    </row>
    <row r="61" customFormat="false" ht="15" hidden="false" customHeight="true" outlineLevel="0" collapsed="false">
      <c r="A61" s="18" t="s">
        <v>163</v>
      </c>
      <c r="B61" s="18"/>
      <c r="C61" s="18"/>
      <c r="D61" s="18"/>
      <c r="E61" s="18"/>
      <c r="F61" s="18"/>
      <c r="G61" s="18" t="s">
        <v>15</v>
      </c>
      <c r="H61" s="18"/>
      <c r="I61" s="18"/>
      <c r="J61" s="18"/>
      <c r="K61" s="42" t="s">
        <v>164</v>
      </c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 t="s">
        <v>159</v>
      </c>
      <c r="AA61" s="42"/>
      <c r="AB61" s="42"/>
      <c r="AC61" s="42"/>
      <c r="AD61" s="42"/>
      <c r="AE61" s="42"/>
      <c r="AF61" s="42"/>
      <c r="AG61" s="42"/>
      <c r="AH61" s="42"/>
      <c r="AI61" s="31" t="s">
        <v>165</v>
      </c>
      <c r="AJ61" s="31"/>
      <c r="AK61" s="31"/>
      <c r="AL61" s="31"/>
      <c r="AM61" s="31"/>
      <c r="AN61" s="31"/>
      <c r="AO61" s="21" t="s">
        <v>66</v>
      </c>
      <c r="AP61" s="21" t="s">
        <v>18</v>
      </c>
      <c r="AQ61" s="21" t="s">
        <v>87</v>
      </c>
      <c r="AR61" s="21"/>
      <c r="AS61" s="21"/>
      <c r="AT61" s="21"/>
      <c r="AU61" s="21" t="s">
        <v>166</v>
      </c>
      <c r="AV61" s="21"/>
      <c r="AW61" s="21"/>
      <c r="AX61" s="21"/>
      <c r="AY61" s="21"/>
      <c r="AZ61" s="21"/>
      <c r="BA61" s="21"/>
      <c r="BB61" s="21"/>
      <c r="BC61" s="21"/>
      <c r="BD61" s="22" t="s">
        <v>167</v>
      </c>
      <c r="BE61" s="22"/>
      <c r="BF61" s="22"/>
      <c r="BG61" s="23" t="str">
        <f aca="false">IFERROR(VLOOKUP(BD61,Lookups111!A$4:B$38,2,FALSE()),"")</f>
        <v>İşçi sayı &lt; 5 &amp; Tarixçə yoxdur</v>
      </c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2"/>
      <c r="BV61" s="22"/>
      <c r="BW61" s="22"/>
      <c r="BX61" s="22"/>
      <c r="BY61" s="22"/>
      <c r="BZ61" s="32" t="n">
        <v>2</v>
      </c>
      <c r="CA61" s="32"/>
      <c r="CB61" s="32"/>
      <c r="CC61" s="32"/>
      <c r="CD61" s="32"/>
      <c r="CE61" s="32"/>
      <c r="CF61" s="32"/>
      <c r="CG61" s="32"/>
    </row>
    <row r="62" customFormat="false" ht="15" hidden="false" customHeight="true" outlineLevel="0" collapsed="false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31"/>
      <c r="AJ62" s="31"/>
      <c r="AK62" s="31"/>
      <c r="AL62" s="31"/>
      <c r="AM62" s="31"/>
      <c r="AN62" s="3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2"/>
      <c r="BE62" s="22"/>
      <c r="BF62" s="22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2"/>
      <c r="BV62" s="22"/>
      <c r="BW62" s="22"/>
      <c r="BX62" s="22"/>
      <c r="BY62" s="22"/>
      <c r="BZ62" s="32"/>
      <c r="CA62" s="32"/>
      <c r="CB62" s="32"/>
      <c r="CC62" s="32"/>
      <c r="CD62" s="32"/>
      <c r="CE62" s="32"/>
      <c r="CF62" s="32"/>
      <c r="CG62" s="32"/>
    </row>
    <row r="63" customFormat="false" ht="15" hidden="false" customHeight="true" outlineLevel="0" collapsed="false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26" t="s">
        <v>168</v>
      </c>
      <c r="AA63" s="26"/>
      <c r="AB63" s="26"/>
      <c r="AC63" s="26"/>
      <c r="AD63" s="26"/>
      <c r="AE63" s="26"/>
      <c r="AF63" s="26"/>
      <c r="AG63" s="26"/>
      <c r="AH63" s="26"/>
      <c r="AI63" s="43" t="n">
        <v>5</v>
      </c>
      <c r="AJ63" s="43"/>
      <c r="AK63" s="43"/>
      <c r="AL63" s="43"/>
      <c r="AM63" s="43"/>
      <c r="AN63" s="43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2"/>
      <c r="BE63" s="22"/>
      <c r="BF63" s="22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2"/>
      <c r="BV63" s="22"/>
      <c r="BW63" s="22"/>
      <c r="BX63" s="22"/>
      <c r="BY63" s="22"/>
      <c r="BZ63" s="32"/>
      <c r="CA63" s="32"/>
      <c r="CB63" s="32"/>
      <c r="CC63" s="32"/>
      <c r="CD63" s="32"/>
      <c r="CE63" s="32"/>
      <c r="CF63" s="32"/>
      <c r="CG63" s="32"/>
    </row>
    <row r="64" customFormat="false" ht="15" hidden="false" customHeight="true" outlineLevel="0" collapsed="false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26"/>
      <c r="AA64" s="26"/>
      <c r="AB64" s="26"/>
      <c r="AC64" s="26"/>
      <c r="AD64" s="26"/>
      <c r="AE64" s="26"/>
      <c r="AF64" s="26"/>
      <c r="AG64" s="26"/>
      <c r="AH64" s="26"/>
      <c r="AI64" s="43"/>
      <c r="AJ64" s="43"/>
      <c r="AK64" s="43"/>
      <c r="AL64" s="43"/>
      <c r="AM64" s="43"/>
      <c r="AN64" s="43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2"/>
      <c r="BE64" s="22"/>
      <c r="BF64" s="22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2"/>
      <c r="BV64" s="22"/>
      <c r="BW64" s="22"/>
      <c r="BX64" s="22"/>
      <c r="BY64" s="22"/>
      <c r="BZ64" s="32"/>
      <c r="CA64" s="32"/>
      <c r="CB64" s="32"/>
      <c r="CC64" s="32"/>
      <c r="CD64" s="32"/>
      <c r="CE64" s="32"/>
      <c r="CF64" s="32"/>
      <c r="CG64" s="32"/>
    </row>
    <row r="65" customFormat="false" ht="15" hidden="false" customHeight="true" outlineLevel="0" collapsed="false">
      <c r="A65" s="18" t="s">
        <v>169</v>
      </c>
      <c r="B65" s="18"/>
      <c r="C65" s="18"/>
      <c r="D65" s="18"/>
      <c r="E65" s="18"/>
      <c r="F65" s="18"/>
      <c r="G65" s="18" t="s">
        <v>15</v>
      </c>
      <c r="H65" s="18"/>
      <c r="I65" s="18"/>
      <c r="J65" s="18"/>
      <c r="K65" s="42" t="s">
        <v>170</v>
      </c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26" t="s">
        <v>171</v>
      </c>
      <c r="AA65" s="26"/>
      <c r="AB65" s="26"/>
      <c r="AC65" s="26"/>
      <c r="AD65" s="26"/>
      <c r="AE65" s="26"/>
      <c r="AF65" s="26"/>
      <c r="AG65" s="26"/>
      <c r="AH65" s="26"/>
      <c r="AI65" s="49" t="n">
        <v>500</v>
      </c>
      <c r="AJ65" s="49"/>
      <c r="AK65" s="49"/>
      <c r="AL65" s="49"/>
      <c r="AM65" s="49"/>
      <c r="AN65" s="49"/>
      <c r="AO65" s="21" t="s">
        <v>66</v>
      </c>
      <c r="AP65" s="21" t="s">
        <v>18</v>
      </c>
      <c r="AQ65" s="21" t="s">
        <v>87</v>
      </c>
      <c r="AR65" s="21"/>
      <c r="AS65" s="21"/>
      <c r="AT65" s="21"/>
      <c r="AU65" s="57" t="s">
        <v>172</v>
      </c>
      <c r="AV65" s="57"/>
      <c r="AW65" s="57"/>
      <c r="AX65" s="57"/>
      <c r="AY65" s="57"/>
      <c r="AZ65" s="57"/>
      <c r="BA65" s="57"/>
      <c r="BB65" s="57"/>
      <c r="BC65" s="57"/>
      <c r="BD65" s="22" t="s">
        <v>173</v>
      </c>
      <c r="BE65" s="22"/>
      <c r="BF65" s="22"/>
      <c r="BG65" s="23" t="str">
        <f aca="false">IFERROR(VLOOKUP(BD65,Lookups111!A$4:B$38,2,FALSE()),"")</f>
        <v>Pensiya &lt; 400 AZN &amp; Tarixçə yoxdur</v>
      </c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2"/>
      <c r="BV65" s="22"/>
      <c r="BW65" s="22"/>
      <c r="BX65" s="22"/>
      <c r="BY65" s="22"/>
      <c r="BZ65" s="32" t="n">
        <v>3</v>
      </c>
      <c r="CA65" s="32"/>
      <c r="CB65" s="32"/>
      <c r="CC65" s="32"/>
      <c r="CD65" s="32"/>
      <c r="CE65" s="32"/>
      <c r="CF65" s="32"/>
      <c r="CG65" s="32"/>
    </row>
    <row r="66" customFormat="false" ht="15" hidden="false" customHeight="true" outlineLevel="0" collapsed="false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26"/>
      <c r="AA66" s="26"/>
      <c r="AB66" s="26"/>
      <c r="AC66" s="26"/>
      <c r="AD66" s="26"/>
      <c r="AE66" s="26"/>
      <c r="AF66" s="26"/>
      <c r="AG66" s="26"/>
      <c r="AH66" s="26"/>
      <c r="AI66" s="49"/>
      <c r="AJ66" s="49"/>
      <c r="AK66" s="49"/>
      <c r="AL66" s="49"/>
      <c r="AM66" s="49"/>
      <c r="AN66" s="49"/>
      <c r="AO66" s="21"/>
      <c r="AP66" s="21"/>
      <c r="AQ66" s="21"/>
      <c r="AR66" s="21"/>
      <c r="AS66" s="21"/>
      <c r="AT66" s="21"/>
      <c r="AU66" s="57"/>
      <c r="AV66" s="57"/>
      <c r="AW66" s="57"/>
      <c r="AX66" s="57"/>
      <c r="AY66" s="57"/>
      <c r="AZ66" s="57"/>
      <c r="BA66" s="57"/>
      <c r="BB66" s="57"/>
      <c r="BC66" s="57"/>
      <c r="BD66" s="22"/>
      <c r="BE66" s="22"/>
      <c r="BF66" s="22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2"/>
      <c r="BV66" s="22"/>
      <c r="BW66" s="22"/>
      <c r="BX66" s="22"/>
      <c r="BY66" s="22"/>
      <c r="BZ66" s="32"/>
      <c r="CA66" s="32"/>
      <c r="CB66" s="32"/>
      <c r="CC66" s="32"/>
      <c r="CD66" s="32"/>
      <c r="CE66" s="32"/>
      <c r="CF66" s="32"/>
      <c r="CG66" s="32"/>
    </row>
    <row r="67" customFormat="false" ht="15" hidden="false" customHeight="true" outlineLevel="0" collapsed="false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26"/>
      <c r="AA67" s="26"/>
      <c r="AB67" s="26"/>
      <c r="AC67" s="26"/>
      <c r="AD67" s="26"/>
      <c r="AE67" s="26"/>
      <c r="AF67" s="26"/>
      <c r="AG67" s="26"/>
      <c r="AH67" s="26"/>
      <c r="AI67" s="49"/>
      <c r="AJ67" s="49"/>
      <c r="AK67" s="49"/>
      <c r="AL67" s="49"/>
      <c r="AM67" s="49"/>
      <c r="AN67" s="49"/>
      <c r="AO67" s="21"/>
      <c r="AP67" s="21"/>
      <c r="AQ67" s="21"/>
      <c r="AR67" s="21"/>
      <c r="AS67" s="21"/>
      <c r="AT67" s="21"/>
      <c r="AU67" s="57"/>
      <c r="AV67" s="57"/>
      <c r="AW67" s="57"/>
      <c r="AX67" s="57"/>
      <c r="AY67" s="57"/>
      <c r="AZ67" s="57"/>
      <c r="BA67" s="57"/>
      <c r="BB67" s="57"/>
      <c r="BC67" s="57"/>
      <c r="BD67" s="22"/>
      <c r="BE67" s="22"/>
      <c r="BF67" s="22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2"/>
      <c r="BV67" s="22"/>
      <c r="BW67" s="22"/>
      <c r="BX67" s="22"/>
      <c r="BY67" s="22"/>
      <c r="BZ67" s="32"/>
      <c r="CA67" s="32"/>
      <c r="CB67" s="32"/>
      <c r="CC67" s="32"/>
      <c r="CD67" s="32"/>
      <c r="CE67" s="32"/>
      <c r="CF67" s="32"/>
      <c r="CG67" s="32"/>
    </row>
    <row r="68" customFormat="false" ht="24.75" hidden="false" customHeight="true" outlineLevel="0" collapsed="false">
      <c r="A68" s="18" t="s">
        <v>174</v>
      </c>
      <c r="B68" s="18"/>
      <c r="C68" s="18"/>
      <c r="D68" s="18"/>
      <c r="E68" s="18"/>
      <c r="F68" s="18"/>
      <c r="G68" s="18" t="s">
        <v>15</v>
      </c>
      <c r="H68" s="18"/>
      <c r="I68" s="18"/>
      <c r="J68" s="18"/>
      <c r="K68" s="42" t="s">
        <v>175</v>
      </c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21" t="s">
        <v>66</v>
      </c>
      <c r="AP68" s="21" t="s">
        <v>18</v>
      </c>
      <c r="AQ68" s="21" t="s">
        <v>87</v>
      </c>
      <c r="AR68" s="21"/>
      <c r="AS68" s="21"/>
      <c r="AT68" s="21"/>
      <c r="AU68" s="57" t="s">
        <v>176</v>
      </c>
      <c r="AV68" s="57"/>
      <c r="AW68" s="57"/>
      <c r="AX68" s="57"/>
      <c r="AY68" s="57"/>
      <c r="AZ68" s="57"/>
      <c r="BA68" s="57"/>
      <c r="BB68" s="57"/>
      <c r="BC68" s="57"/>
      <c r="BD68" s="22" t="s">
        <v>177</v>
      </c>
      <c r="BE68" s="22"/>
      <c r="BF68" s="22"/>
      <c r="BG68" s="23" t="str">
        <f aca="false">IFERROR(VLOOKUP(BD68,Lookups111!A$4:B$38,2,FALSE()),"")</f>
        <v>Məhdud pensiya növləri &amp; Tarixçə yoxdur</v>
      </c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2"/>
      <c r="BV68" s="22"/>
      <c r="BW68" s="22"/>
      <c r="BX68" s="22"/>
      <c r="BY68" s="22"/>
      <c r="BZ68" s="32" t="n">
        <v>4</v>
      </c>
      <c r="CA68" s="32"/>
      <c r="CB68" s="32"/>
      <c r="CC68" s="32"/>
      <c r="CD68" s="32"/>
      <c r="CE68" s="32"/>
      <c r="CF68" s="32"/>
      <c r="CG68" s="32"/>
    </row>
    <row r="69" customFormat="false" ht="35.25" hidden="false" customHeight="true" outlineLevel="0" collapsed="false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21"/>
      <c r="AP69" s="21"/>
      <c r="AQ69" s="21"/>
      <c r="AR69" s="21"/>
      <c r="AS69" s="21"/>
      <c r="AT69" s="21"/>
      <c r="AU69" s="57"/>
      <c r="AV69" s="57"/>
      <c r="AW69" s="57"/>
      <c r="AX69" s="57"/>
      <c r="AY69" s="57"/>
      <c r="AZ69" s="57"/>
      <c r="BA69" s="57"/>
      <c r="BB69" s="57"/>
      <c r="BC69" s="57"/>
      <c r="BD69" s="22"/>
      <c r="BE69" s="22"/>
      <c r="BF69" s="22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2"/>
      <c r="BV69" s="22"/>
      <c r="BW69" s="22"/>
      <c r="BX69" s="22"/>
      <c r="BY69" s="22"/>
      <c r="BZ69" s="32"/>
      <c r="CA69" s="32"/>
      <c r="CB69" s="32"/>
      <c r="CC69" s="32"/>
      <c r="CD69" s="32"/>
      <c r="CE69" s="32"/>
      <c r="CF69" s="32"/>
      <c r="CG69" s="32"/>
    </row>
    <row r="70" customFormat="false" ht="24.75" hidden="false" customHeight="true" outlineLevel="0" collapsed="false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21"/>
      <c r="AP70" s="21"/>
      <c r="AQ70" s="21"/>
      <c r="AR70" s="21"/>
      <c r="AS70" s="21"/>
      <c r="AT70" s="21"/>
      <c r="AU70" s="57"/>
      <c r="AV70" s="57"/>
      <c r="AW70" s="57"/>
      <c r="AX70" s="57"/>
      <c r="AY70" s="57"/>
      <c r="AZ70" s="57"/>
      <c r="BA70" s="57"/>
      <c r="BB70" s="57"/>
      <c r="BC70" s="57"/>
      <c r="BD70" s="22"/>
      <c r="BE70" s="22"/>
      <c r="BF70" s="22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2"/>
      <c r="BV70" s="22"/>
      <c r="BW70" s="22"/>
      <c r="BX70" s="22"/>
      <c r="BY70" s="22"/>
      <c r="BZ70" s="32"/>
      <c r="CA70" s="32"/>
      <c r="CB70" s="32"/>
      <c r="CC70" s="32"/>
      <c r="CD70" s="32"/>
      <c r="CE70" s="32"/>
      <c r="CF70" s="32"/>
      <c r="CG70" s="32"/>
    </row>
    <row r="71" customFormat="false" ht="20.25" hidden="true" customHeight="true" outlineLevel="0" collapsed="false">
      <c r="A71" s="36" t="s">
        <v>178</v>
      </c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  <c r="BC71" s="36"/>
      <c r="BD71" s="36"/>
      <c r="BE71" s="36"/>
      <c r="BF71" s="36"/>
      <c r="BG71" s="36"/>
      <c r="BH71" s="36"/>
      <c r="BI71" s="36"/>
      <c r="BJ71" s="36"/>
      <c r="BK71" s="36"/>
      <c r="BL71" s="36"/>
      <c r="BM71" s="36"/>
      <c r="BN71" s="36"/>
      <c r="BO71" s="36"/>
      <c r="BP71" s="36"/>
      <c r="BQ71" s="36"/>
      <c r="BR71" s="36"/>
      <c r="BS71" s="36"/>
      <c r="BT71" s="36"/>
      <c r="BU71" s="36"/>
      <c r="BV71" s="36"/>
      <c r="BW71" s="36"/>
      <c r="BX71" s="36"/>
      <c r="BY71" s="36"/>
      <c r="BZ71" s="36"/>
      <c r="CA71" s="36"/>
      <c r="CB71" s="36"/>
      <c r="CC71" s="36"/>
      <c r="CD71" s="36"/>
      <c r="CE71" s="36"/>
      <c r="CF71" s="36"/>
      <c r="CG71" s="36"/>
    </row>
    <row r="72" customFormat="false" ht="15" hidden="true" customHeight="true" outlineLevel="0" collapsed="false">
      <c r="A72" s="17" t="s">
        <v>179</v>
      </c>
      <c r="B72" s="17"/>
      <c r="C72" s="17"/>
      <c r="D72" s="17"/>
      <c r="E72" s="17"/>
      <c r="F72" s="17"/>
      <c r="G72" s="18" t="s">
        <v>15</v>
      </c>
      <c r="H72" s="18"/>
      <c r="I72" s="18"/>
      <c r="J72" s="18"/>
      <c r="K72" s="26" t="s">
        <v>180</v>
      </c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42" t="s">
        <v>181</v>
      </c>
      <c r="AA72" s="42"/>
      <c r="AB72" s="42"/>
      <c r="AC72" s="42"/>
      <c r="AD72" s="42"/>
      <c r="AE72" s="42"/>
      <c r="AF72" s="42"/>
      <c r="AG72" s="42"/>
      <c r="AH72" s="42"/>
      <c r="AI72" s="31" t="s">
        <v>17</v>
      </c>
      <c r="AJ72" s="31"/>
      <c r="AK72" s="31"/>
      <c r="AL72" s="31"/>
      <c r="AM72" s="31"/>
      <c r="AN72" s="31"/>
      <c r="AO72" s="42" t="s">
        <v>182</v>
      </c>
      <c r="AP72" s="42"/>
      <c r="AQ72" s="42"/>
      <c r="AR72" s="42"/>
      <c r="AS72" s="42"/>
      <c r="AT72" s="42"/>
      <c r="AU72" s="42"/>
      <c r="AV72" s="42"/>
      <c r="AW72" s="58" t="s">
        <v>75</v>
      </c>
      <c r="AX72" s="58"/>
      <c r="AY72" s="58"/>
      <c r="AZ72" s="58"/>
      <c r="BA72" s="58"/>
      <c r="BB72" s="58"/>
      <c r="BC72" s="58"/>
      <c r="BD72" s="22" t="s">
        <v>183</v>
      </c>
      <c r="BE72" s="22"/>
      <c r="BF72" s="22"/>
      <c r="BG72" s="23" t="str">
        <f aca="false">IFERROR(VLOOKUP('Cash ABC+ACZ'!BD72,Lookups111!A$4:B$38,2,FALSE()),"")</f>
        <v>Skorinq nəticəsinə görə rədd edildi</v>
      </c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19"/>
      <c r="BV72" s="19"/>
      <c r="BW72" s="19"/>
      <c r="BX72" s="19"/>
      <c r="BY72" s="19"/>
      <c r="BZ72" s="24" t="n">
        <v>1</v>
      </c>
      <c r="CA72" s="24"/>
      <c r="CB72" s="24"/>
      <c r="CC72" s="24"/>
      <c r="CD72" s="24"/>
      <c r="CE72" s="24"/>
      <c r="CF72" s="24"/>
      <c r="CG72" s="24"/>
    </row>
    <row r="73" customFormat="false" ht="15" hidden="false" customHeight="true" outlineLevel="0" collapsed="false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1"/>
      <c r="AA73" s="61"/>
      <c r="AB73" s="61"/>
      <c r="AC73" s="61"/>
      <c r="AD73" s="61"/>
      <c r="AE73" s="61"/>
      <c r="AF73" s="61"/>
      <c r="AG73" s="61"/>
      <c r="AH73" s="61"/>
      <c r="AI73" s="61"/>
      <c r="AJ73" s="61"/>
      <c r="AK73" s="61"/>
      <c r="AL73" s="61"/>
      <c r="AM73" s="61"/>
      <c r="AN73" s="61"/>
      <c r="AO73" s="61"/>
      <c r="AP73" s="61"/>
      <c r="AQ73" s="61"/>
      <c r="AR73" s="61"/>
      <c r="AS73" s="61"/>
      <c r="AT73" s="61"/>
      <c r="AU73" s="61"/>
      <c r="AV73" s="61"/>
      <c r="AW73" s="61"/>
      <c r="AX73" s="61"/>
      <c r="AY73" s="61"/>
      <c r="AZ73" s="61"/>
      <c r="BA73" s="61"/>
      <c r="BB73" s="61"/>
      <c r="BC73" s="61"/>
      <c r="BD73" s="61"/>
      <c r="BE73" s="61"/>
      <c r="BF73" s="61"/>
      <c r="BG73" s="61"/>
      <c r="BH73" s="61"/>
      <c r="BI73" s="61"/>
      <c r="BJ73" s="61"/>
      <c r="BK73" s="61"/>
      <c r="BL73" s="61"/>
      <c r="BM73" s="61"/>
      <c r="BN73" s="61"/>
      <c r="BO73" s="61"/>
      <c r="BP73" s="61"/>
      <c r="BQ73" s="61"/>
      <c r="BR73" s="61"/>
      <c r="BS73" s="61"/>
      <c r="BT73" s="61"/>
      <c r="BU73" s="61"/>
      <c r="BV73" s="61"/>
      <c r="BW73" s="61"/>
      <c r="BX73" s="61"/>
      <c r="BY73" s="61"/>
    </row>
    <row r="74" customFormat="false" ht="15" hidden="false" customHeight="true" outlineLevel="0" collapsed="false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1"/>
      <c r="AA74" s="61"/>
      <c r="AB74" s="61"/>
      <c r="AC74" s="61"/>
      <c r="AD74" s="61"/>
      <c r="AE74" s="61"/>
      <c r="AF74" s="61"/>
      <c r="AG74" s="61"/>
      <c r="AH74" s="61"/>
      <c r="AI74" s="61"/>
      <c r="AJ74" s="61"/>
      <c r="AK74" s="61"/>
      <c r="AL74" s="61"/>
      <c r="AM74" s="61"/>
      <c r="AN74" s="61"/>
      <c r="AO74" s="61"/>
      <c r="AP74" s="61"/>
      <c r="AQ74" s="61"/>
      <c r="AR74" s="61"/>
      <c r="AS74" s="61"/>
      <c r="AT74" s="61"/>
      <c r="AU74" s="61"/>
      <c r="AV74" s="61"/>
      <c r="AW74" s="61"/>
      <c r="AX74" s="61"/>
      <c r="AY74" s="61"/>
      <c r="AZ74" s="61"/>
      <c r="BA74" s="61"/>
      <c r="BB74" s="61"/>
      <c r="BC74" s="61"/>
      <c r="BD74" s="61"/>
      <c r="BE74" s="61"/>
      <c r="BF74" s="61"/>
      <c r="BG74" s="61"/>
      <c r="BH74" s="61"/>
      <c r="BI74" s="61"/>
      <c r="BJ74" s="61"/>
      <c r="BK74" s="61"/>
      <c r="BL74" s="61"/>
      <c r="BM74" s="61"/>
      <c r="BN74" s="61"/>
      <c r="BO74" s="61"/>
      <c r="BP74" s="61"/>
      <c r="BQ74" s="61"/>
      <c r="BR74" s="61"/>
      <c r="BS74" s="61"/>
      <c r="BT74" s="61"/>
      <c r="BU74" s="61"/>
      <c r="BV74" s="61"/>
      <c r="BW74" s="61"/>
      <c r="BX74" s="61"/>
      <c r="BY74" s="61"/>
    </row>
    <row r="75" customFormat="false" ht="15" hidden="false" customHeight="true" outlineLevel="0" collapsed="false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1"/>
      <c r="AA75" s="61"/>
      <c r="AB75" s="61"/>
      <c r="AC75" s="61"/>
      <c r="AD75" s="61"/>
      <c r="AE75" s="61"/>
      <c r="AF75" s="61"/>
      <c r="AG75" s="61"/>
      <c r="AH75" s="61"/>
      <c r="AI75" s="61"/>
      <c r="AJ75" s="61"/>
      <c r="AK75" s="61"/>
      <c r="AL75" s="61"/>
      <c r="AM75" s="61"/>
      <c r="AN75" s="61"/>
      <c r="AO75" s="61"/>
      <c r="AP75" s="61"/>
      <c r="AQ75" s="61"/>
      <c r="AR75" s="61"/>
      <c r="AS75" s="61"/>
      <c r="AT75" s="61"/>
      <c r="AU75" s="61"/>
      <c r="AV75" s="61"/>
      <c r="AW75" s="61"/>
      <c r="AX75" s="61"/>
      <c r="AY75" s="61"/>
      <c r="AZ75" s="61"/>
      <c r="BA75" s="61"/>
      <c r="BB75" s="61"/>
      <c r="BC75" s="61"/>
      <c r="BD75" s="61"/>
      <c r="BE75" s="61"/>
      <c r="BF75" s="61"/>
      <c r="BG75" s="61"/>
      <c r="BH75" s="61"/>
      <c r="BI75" s="61"/>
      <c r="BJ75" s="61"/>
      <c r="BK75" s="61"/>
      <c r="BL75" s="61"/>
      <c r="BM75" s="61"/>
      <c r="BN75" s="61"/>
      <c r="BO75" s="61"/>
      <c r="BP75" s="61"/>
      <c r="BQ75" s="61"/>
      <c r="BR75" s="61"/>
      <c r="BS75" s="61"/>
      <c r="BT75" s="61"/>
      <c r="BU75" s="61"/>
      <c r="BV75" s="61"/>
      <c r="BW75" s="61"/>
      <c r="BX75" s="61"/>
      <c r="BY75" s="61"/>
    </row>
    <row r="76" customFormat="false" ht="15" hidden="false" customHeight="true" outlineLevel="0" collapsed="false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1"/>
      <c r="AA76" s="61"/>
      <c r="AB76" s="61"/>
      <c r="AC76" s="61"/>
      <c r="AD76" s="61"/>
      <c r="AE76" s="61"/>
      <c r="AF76" s="61"/>
      <c r="AG76" s="61"/>
      <c r="AH76" s="61"/>
      <c r="AI76" s="61"/>
      <c r="AJ76" s="61"/>
      <c r="AK76" s="61"/>
      <c r="AL76" s="61"/>
      <c r="AM76" s="61"/>
      <c r="AN76" s="61"/>
      <c r="AO76" s="61"/>
      <c r="AP76" s="61"/>
      <c r="AQ76" s="61"/>
      <c r="AR76" s="61"/>
      <c r="AS76" s="61"/>
      <c r="AT76" s="61"/>
      <c r="AU76" s="61"/>
      <c r="AV76" s="61"/>
      <c r="AW76" s="61"/>
      <c r="AX76" s="61"/>
      <c r="AY76" s="61"/>
      <c r="AZ76" s="61"/>
      <c r="BA76" s="61"/>
      <c r="BB76" s="61"/>
      <c r="BC76" s="61"/>
      <c r="BD76" s="61"/>
      <c r="BE76" s="61"/>
      <c r="BF76" s="61"/>
      <c r="BG76" s="61"/>
      <c r="BH76" s="61"/>
      <c r="BI76" s="61"/>
      <c r="BJ76" s="61"/>
      <c r="BK76" s="61"/>
      <c r="BL76" s="61"/>
      <c r="BM76" s="61"/>
      <c r="BN76" s="61"/>
      <c r="BO76" s="61"/>
      <c r="BP76" s="61"/>
      <c r="BQ76" s="61"/>
      <c r="BR76" s="61"/>
      <c r="BS76" s="61"/>
      <c r="BT76" s="61"/>
      <c r="BU76" s="61"/>
      <c r="BV76" s="61"/>
      <c r="BW76" s="61"/>
      <c r="BX76" s="61"/>
      <c r="BY76" s="61"/>
    </row>
    <row r="77" customFormat="false" ht="15" hidden="false" customHeight="true" outlineLevel="0" collapsed="false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1"/>
      <c r="AA77" s="61"/>
      <c r="AB77" s="61"/>
      <c r="AC77" s="61"/>
      <c r="AD77" s="61"/>
      <c r="AE77" s="61"/>
      <c r="AF77" s="61"/>
      <c r="AG77" s="61"/>
      <c r="AH77" s="61"/>
      <c r="AI77" s="61"/>
      <c r="AJ77" s="61"/>
      <c r="AK77" s="61"/>
      <c r="AL77" s="61"/>
      <c r="AM77" s="61"/>
      <c r="AN77" s="61"/>
      <c r="AO77" s="61"/>
      <c r="AP77" s="61"/>
      <c r="AQ77" s="61"/>
      <c r="AR77" s="61"/>
      <c r="AS77" s="61"/>
      <c r="AT77" s="61"/>
      <c r="AU77" s="61"/>
      <c r="AV77" s="61"/>
      <c r="AW77" s="61"/>
      <c r="AX77" s="61"/>
      <c r="AY77" s="61"/>
      <c r="AZ77" s="61"/>
      <c r="BA77" s="61"/>
      <c r="BB77" s="61"/>
      <c r="BC77" s="61"/>
      <c r="BD77" s="61"/>
      <c r="BE77" s="61"/>
      <c r="BF77" s="61"/>
      <c r="BG77" s="61"/>
      <c r="BH77" s="61"/>
      <c r="BI77" s="61"/>
      <c r="BJ77" s="61"/>
      <c r="BK77" s="61"/>
      <c r="BL77" s="61"/>
      <c r="BM77" s="61"/>
      <c r="BN77" s="61"/>
      <c r="BO77" s="61"/>
      <c r="BP77" s="61"/>
      <c r="BQ77" s="61"/>
      <c r="BR77" s="61"/>
      <c r="BS77" s="61"/>
      <c r="BT77" s="61"/>
      <c r="BU77" s="61"/>
      <c r="BV77" s="61"/>
      <c r="BW77" s="61"/>
      <c r="BX77" s="61"/>
      <c r="BY77" s="61"/>
    </row>
    <row r="78" customFormat="false" ht="15" hidden="false" customHeight="true" outlineLevel="0" collapsed="false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1"/>
      <c r="AA78" s="61"/>
      <c r="AB78" s="61"/>
      <c r="AC78" s="61"/>
      <c r="AD78" s="61"/>
      <c r="AE78" s="61"/>
      <c r="AF78" s="61"/>
      <c r="AG78" s="61"/>
      <c r="AH78" s="61"/>
      <c r="AI78" s="61"/>
      <c r="AJ78" s="61"/>
      <c r="AK78" s="61"/>
      <c r="AL78" s="61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61"/>
      <c r="AZ78" s="61"/>
      <c r="BA78" s="61"/>
      <c r="BB78" s="61"/>
      <c r="BC78" s="61"/>
      <c r="BD78" s="61"/>
      <c r="BE78" s="61"/>
      <c r="BF78" s="61"/>
      <c r="BG78" s="61"/>
      <c r="BH78" s="61"/>
      <c r="BI78" s="61"/>
      <c r="BJ78" s="61"/>
      <c r="BK78" s="61"/>
      <c r="BL78" s="61"/>
      <c r="BM78" s="61"/>
      <c r="BN78" s="61"/>
      <c r="BO78" s="61"/>
      <c r="BP78" s="61"/>
      <c r="BQ78" s="61"/>
      <c r="BR78" s="61"/>
      <c r="BS78" s="61"/>
      <c r="BT78" s="61"/>
      <c r="BU78" s="61"/>
      <c r="BV78" s="61"/>
      <c r="BW78" s="61"/>
      <c r="BX78" s="61"/>
      <c r="BY78" s="61"/>
    </row>
    <row r="79" customFormat="false" ht="15" hidden="false" customHeight="true" outlineLevel="0" collapsed="false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1"/>
      <c r="AA79" s="61"/>
      <c r="AB79" s="61"/>
      <c r="AC79" s="61"/>
      <c r="AD79" s="61"/>
      <c r="AE79" s="61"/>
      <c r="AF79" s="61"/>
      <c r="AG79" s="61"/>
      <c r="AH79" s="61"/>
      <c r="AI79" s="61"/>
      <c r="AJ79" s="61"/>
      <c r="AK79" s="61"/>
      <c r="AL79" s="61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61"/>
      <c r="AZ79" s="61"/>
      <c r="BA79" s="61"/>
      <c r="BB79" s="61"/>
      <c r="BC79" s="61"/>
      <c r="BD79" s="61"/>
      <c r="BE79" s="61"/>
      <c r="BF79" s="61"/>
      <c r="BG79" s="61"/>
      <c r="BH79" s="61"/>
      <c r="BI79" s="61"/>
      <c r="BJ79" s="61"/>
      <c r="BK79" s="61"/>
      <c r="BL79" s="61"/>
      <c r="BM79" s="61"/>
      <c r="BN79" s="61"/>
      <c r="BO79" s="61"/>
      <c r="BP79" s="61"/>
      <c r="BQ79" s="61"/>
      <c r="BR79" s="61"/>
      <c r="BS79" s="61"/>
      <c r="BT79" s="61"/>
      <c r="BU79" s="61"/>
      <c r="BV79" s="61"/>
      <c r="BW79" s="61"/>
      <c r="BX79" s="61"/>
      <c r="BY79" s="61"/>
    </row>
    <row r="80" customFormat="false" ht="15" hidden="false" customHeight="true" outlineLevel="0" collapsed="false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1"/>
      <c r="AA80" s="61"/>
      <c r="AB80" s="61"/>
      <c r="AC80" s="61"/>
      <c r="AD80" s="61"/>
      <c r="AE80" s="61"/>
      <c r="AF80" s="61"/>
      <c r="AG80" s="61"/>
      <c r="AH80" s="61"/>
      <c r="AI80" s="61"/>
      <c r="AJ80" s="61"/>
      <c r="AK80" s="61"/>
      <c r="AL80" s="61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61"/>
      <c r="AZ80" s="61"/>
      <c r="BA80" s="61"/>
      <c r="BB80" s="61"/>
      <c r="BC80" s="61"/>
      <c r="BD80" s="61"/>
      <c r="BE80" s="61"/>
      <c r="BF80" s="61"/>
      <c r="BG80" s="61"/>
      <c r="BH80" s="61"/>
      <c r="BI80" s="61"/>
      <c r="BJ80" s="61"/>
      <c r="BK80" s="61"/>
      <c r="BL80" s="61"/>
      <c r="BM80" s="61"/>
      <c r="BN80" s="61"/>
      <c r="BO80" s="61"/>
      <c r="BP80" s="61"/>
      <c r="BQ80" s="61"/>
      <c r="BR80" s="61"/>
      <c r="BS80" s="61"/>
      <c r="BT80" s="61"/>
      <c r="BU80" s="61"/>
      <c r="BV80" s="61"/>
      <c r="BW80" s="61"/>
      <c r="BX80" s="61"/>
      <c r="BY80" s="61"/>
    </row>
    <row r="81" customFormat="false" ht="15" hidden="false" customHeight="true" outlineLevel="0" collapsed="false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1"/>
      <c r="AA81" s="61"/>
      <c r="AB81" s="61"/>
      <c r="AC81" s="61"/>
      <c r="AD81" s="61"/>
      <c r="AE81" s="61"/>
      <c r="AF81" s="61"/>
      <c r="AG81" s="61"/>
      <c r="AH81" s="61"/>
      <c r="AI81" s="61"/>
      <c r="AJ81" s="61"/>
      <c r="AK81" s="61"/>
      <c r="AL81" s="61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61"/>
      <c r="AZ81" s="61"/>
      <c r="BA81" s="61"/>
      <c r="BB81" s="61"/>
      <c r="BC81" s="61"/>
      <c r="BD81" s="61"/>
      <c r="BE81" s="61"/>
      <c r="BF81" s="61"/>
      <c r="BG81" s="61"/>
      <c r="BH81" s="61"/>
      <c r="BI81" s="61"/>
      <c r="BJ81" s="61"/>
      <c r="BK81" s="61"/>
      <c r="BL81" s="61"/>
      <c r="BM81" s="61"/>
      <c r="BN81" s="61"/>
      <c r="BO81" s="61"/>
      <c r="BP81" s="61"/>
      <c r="BQ81" s="61"/>
      <c r="BR81" s="61"/>
      <c r="BS81" s="61"/>
      <c r="BT81" s="61"/>
      <c r="BU81" s="61"/>
      <c r="BV81" s="61"/>
      <c r="BW81" s="61"/>
      <c r="BX81" s="61"/>
      <c r="BY81" s="61"/>
    </row>
    <row r="82" customFormat="false" ht="15" hidden="false" customHeight="true" outlineLevel="0" collapsed="false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1"/>
      <c r="AA82" s="61"/>
      <c r="AB82" s="61"/>
      <c r="AC82" s="61"/>
      <c r="AD82" s="61"/>
      <c r="AE82" s="61"/>
      <c r="AF82" s="61"/>
      <c r="AG82" s="61"/>
      <c r="AH82" s="61"/>
      <c r="AI82" s="61"/>
      <c r="AJ82" s="61"/>
      <c r="AK82" s="61"/>
      <c r="AL82" s="61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61"/>
      <c r="AZ82" s="61"/>
      <c r="BA82" s="61"/>
      <c r="BB82" s="61"/>
      <c r="BC82" s="61"/>
      <c r="BD82" s="61"/>
      <c r="BE82" s="61"/>
      <c r="BF82" s="61"/>
      <c r="BG82" s="61"/>
      <c r="BH82" s="61"/>
      <c r="BI82" s="61"/>
      <c r="BJ82" s="61"/>
      <c r="BK82" s="61"/>
      <c r="BL82" s="61"/>
      <c r="BM82" s="61"/>
      <c r="BN82" s="61"/>
      <c r="BO82" s="61"/>
      <c r="BP82" s="61"/>
      <c r="BQ82" s="61"/>
      <c r="BR82" s="61"/>
      <c r="BS82" s="61"/>
      <c r="BT82" s="61"/>
      <c r="BU82" s="61"/>
      <c r="BV82" s="61"/>
      <c r="BW82" s="61"/>
      <c r="BX82" s="61"/>
      <c r="BY82" s="61"/>
    </row>
    <row r="83" customFormat="false" ht="15" hidden="false" customHeight="true" outlineLevel="0" collapsed="false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1"/>
      <c r="AA83" s="61"/>
      <c r="AB83" s="61"/>
      <c r="AC83" s="61"/>
      <c r="AD83" s="61"/>
      <c r="AE83" s="61"/>
      <c r="AF83" s="61"/>
      <c r="AG83" s="61"/>
      <c r="AH83" s="61"/>
      <c r="AI83" s="61"/>
      <c r="AJ83" s="61"/>
      <c r="AK83" s="61"/>
      <c r="AL83" s="61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61"/>
      <c r="AZ83" s="61"/>
      <c r="BA83" s="61"/>
      <c r="BB83" s="61"/>
      <c r="BC83" s="61"/>
      <c r="BD83" s="61"/>
      <c r="BE83" s="61"/>
      <c r="BF83" s="61"/>
      <c r="BG83" s="61"/>
      <c r="BH83" s="61"/>
      <c r="BI83" s="61"/>
      <c r="BJ83" s="61"/>
      <c r="BK83" s="61"/>
      <c r="BL83" s="61"/>
      <c r="BM83" s="61"/>
      <c r="BN83" s="61"/>
      <c r="BO83" s="61"/>
      <c r="BP83" s="61"/>
      <c r="BQ83" s="61"/>
      <c r="BR83" s="61"/>
      <c r="BS83" s="61"/>
      <c r="BT83" s="61"/>
      <c r="BU83" s="61"/>
      <c r="BV83" s="61"/>
      <c r="BW83" s="61"/>
      <c r="BX83" s="61"/>
      <c r="BY83" s="61"/>
    </row>
    <row r="84" customFormat="false" ht="15" hidden="false" customHeight="true" outlineLevel="0" collapsed="false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1"/>
      <c r="AA84" s="61"/>
      <c r="AB84" s="61"/>
      <c r="AC84" s="61"/>
      <c r="AD84" s="61"/>
      <c r="AE84" s="61"/>
      <c r="AF84" s="61"/>
      <c r="AG84" s="61"/>
      <c r="AH84" s="61"/>
      <c r="AI84" s="61"/>
      <c r="AJ84" s="61"/>
      <c r="AK84" s="61"/>
      <c r="AL84" s="61"/>
      <c r="AM84" s="61"/>
      <c r="AN84" s="61"/>
      <c r="AO84" s="61"/>
      <c r="AP84" s="61"/>
      <c r="AQ84" s="61"/>
      <c r="AR84" s="61"/>
      <c r="AS84" s="61"/>
      <c r="AT84" s="61"/>
      <c r="AU84" s="61"/>
      <c r="AV84" s="61"/>
      <c r="AW84" s="61"/>
      <c r="AX84" s="61"/>
      <c r="AY84" s="61"/>
      <c r="AZ84" s="61"/>
      <c r="BA84" s="61"/>
      <c r="BB84" s="61"/>
      <c r="BC84" s="61"/>
      <c r="BD84" s="61"/>
      <c r="BE84" s="61"/>
      <c r="BF84" s="61"/>
      <c r="BG84" s="61"/>
      <c r="BH84" s="61"/>
      <c r="BI84" s="61"/>
      <c r="BJ84" s="61"/>
      <c r="BK84" s="61"/>
      <c r="BL84" s="61"/>
      <c r="BM84" s="61"/>
      <c r="BN84" s="61"/>
      <c r="BO84" s="61"/>
      <c r="BP84" s="61"/>
      <c r="BQ84" s="61"/>
      <c r="BR84" s="61"/>
      <c r="BS84" s="61"/>
      <c r="BT84" s="61"/>
      <c r="BU84" s="61"/>
      <c r="BV84" s="61"/>
      <c r="BW84" s="61"/>
      <c r="BX84" s="61"/>
      <c r="BY84" s="61"/>
    </row>
    <row r="85" customFormat="false" ht="15" hidden="false" customHeight="true" outlineLevel="0" collapsed="false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1"/>
      <c r="AA85" s="61"/>
      <c r="AB85" s="61"/>
      <c r="AC85" s="61"/>
      <c r="AD85" s="61"/>
      <c r="AE85" s="61"/>
      <c r="AF85" s="61"/>
      <c r="AG85" s="61"/>
      <c r="AH85" s="61"/>
      <c r="AI85" s="61"/>
      <c r="AJ85" s="61"/>
      <c r="AK85" s="61"/>
      <c r="AL85" s="61"/>
      <c r="AM85" s="61"/>
      <c r="AN85" s="61"/>
      <c r="AO85" s="61"/>
      <c r="AP85" s="61"/>
      <c r="AQ85" s="61"/>
      <c r="AR85" s="61"/>
      <c r="AS85" s="61"/>
      <c r="AT85" s="61"/>
      <c r="AU85" s="61"/>
      <c r="AV85" s="61"/>
      <c r="AW85" s="61"/>
      <c r="AX85" s="61"/>
      <c r="AY85" s="61"/>
      <c r="AZ85" s="61"/>
      <c r="BA85" s="61"/>
      <c r="BB85" s="61"/>
      <c r="BC85" s="61"/>
      <c r="BD85" s="61"/>
      <c r="BE85" s="61"/>
      <c r="BF85" s="61"/>
      <c r="BG85" s="61"/>
      <c r="BH85" s="61"/>
      <c r="BI85" s="61"/>
      <c r="BJ85" s="61"/>
      <c r="BK85" s="61"/>
      <c r="BL85" s="61"/>
      <c r="BM85" s="61"/>
      <c r="BN85" s="61"/>
      <c r="BO85" s="61"/>
      <c r="BP85" s="61"/>
      <c r="BQ85" s="61"/>
      <c r="BR85" s="61"/>
      <c r="BS85" s="61"/>
      <c r="BT85" s="61"/>
      <c r="BU85" s="61"/>
      <c r="BV85" s="61"/>
      <c r="BW85" s="61"/>
      <c r="BX85" s="61"/>
      <c r="BY85" s="61"/>
    </row>
    <row r="86" customFormat="false" ht="15" hidden="false" customHeight="true" outlineLevel="0" collapsed="false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1"/>
      <c r="AA86" s="61"/>
      <c r="AB86" s="61"/>
      <c r="AC86" s="61"/>
      <c r="AD86" s="61"/>
      <c r="AE86" s="61"/>
      <c r="AF86" s="61"/>
      <c r="AG86" s="61"/>
      <c r="AH86" s="61"/>
      <c r="AI86" s="61"/>
      <c r="AJ86" s="61"/>
      <c r="AK86" s="61"/>
      <c r="AL86" s="61"/>
      <c r="AM86" s="61"/>
      <c r="AN86" s="61"/>
      <c r="AO86" s="61"/>
      <c r="AP86" s="61"/>
      <c r="AQ86" s="61"/>
      <c r="AR86" s="61"/>
      <c r="AS86" s="61"/>
      <c r="AT86" s="61"/>
      <c r="AU86" s="61"/>
      <c r="AV86" s="61"/>
      <c r="AW86" s="61"/>
      <c r="AX86" s="61"/>
      <c r="AY86" s="61"/>
      <c r="AZ86" s="61"/>
      <c r="BA86" s="61"/>
      <c r="BB86" s="61"/>
      <c r="BC86" s="61"/>
      <c r="BD86" s="61"/>
      <c r="BE86" s="61"/>
      <c r="BF86" s="61"/>
      <c r="BG86" s="61"/>
      <c r="BH86" s="61"/>
      <c r="BI86" s="61"/>
      <c r="BJ86" s="61"/>
      <c r="BK86" s="61"/>
      <c r="BL86" s="61"/>
      <c r="BM86" s="61"/>
      <c r="BN86" s="61"/>
      <c r="BO86" s="61"/>
      <c r="BP86" s="61"/>
      <c r="BQ86" s="61"/>
      <c r="BR86" s="61"/>
      <c r="BS86" s="61"/>
      <c r="BT86" s="61"/>
      <c r="BU86" s="61"/>
      <c r="BV86" s="61"/>
      <c r="BW86" s="61"/>
      <c r="BX86" s="61"/>
      <c r="BY86" s="61"/>
    </row>
    <row r="87" customFormat="false" ht="15" hidden="false" customHeight="true" outlineLevel="0" collapsed="false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1"/>
      <c r="AA87" s="61"/>
      <c r="AB87" s="61"/>
      <c r="AC87" s="61"/>
      <c r="AD87" s="61"/>
      <c r="AE87" s="61"/>
      <c r="AF87" s="61"/>
      <c r="AG87" s="61"/>
      <c r="AH87" s="61"/>
      <c r="AI87" s="61"/>
      <c r="AJ87" s="61"/>
      <c r="AK87" s="61"/>
      <c r="AL87" s="61"/>
      <c r="AM87" s="61"/>
      <c r="AN87" s="61"/>
      <c r="AO87" s="61"/>
      <c r="AP87" s="61"/>
      <c r="AQ87" s="61"/>
      <c r="AR87" s="61"/>
      <c r="AS87" s="61"/>
      <c r="AT87" s="61"/>
      <c r="AU87" s="61"/>
      <c r="AV87" s="61"/>
      <c r="AW87" s="61"/>
      <c r="AX87" s="61"/>
      <c r="AY87" s="61"/>
      <c r="AZ87" s="61"/>
      <c r="BA87" s="61"/>
      <c r="BB87" s="61"/>
      <c r="BC87" s="61"/>
      <c r="BD87" s="61"/>
      <c r="BE87" s="61"/>
      <c r="BF87" s="61"/>
      <c r="BG87" s="61"/>
      <c r="BH87" s="61"/>
      <c r="BI87" s="61"/>
      <c r="BJ87" s="61"/>
      <c r="BK87" s="61"/>
      <c r="BL87" s="61"/>
      <c r="BM87" s="61"/>
      <c r="BN87" s="61"/>
      <c r="BO87" s="61"/>
      <c r="BP87" s="61"/>
      <c r="BQ87" s="61"/>
      <c r="BR87" s="61"/>
      <c r="BS87" s="61"/>
      <c r="BT87" s="61"/>
      <c r="BU87" s="61"/>
      <c r="BV87" s="61"/>
      <c r="BW87" s="61"/>
      <c r="BX87" s="61"/>
      <c r="BY87" s="61"/>
    </row>
    <row r="88" customFormat="false" ht="15" hidden="false" customHeight="true" outlineLevel="0" collapsed="false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1"/>
      <c r="AA88" s="61"/>
      <c r="AB88" s="61"/>
      <c r="AC88" s="61"/>
      <c r="AD88" s="61"/>
      <c r="AE88" s="61"/>
      <c r="AF88" s="61"/>
      <c r="AG88" s="61"/>
      <c r="AH88" s="61"/>
      <c r="AI88" s="61"/>
      <c r="AJ88" s="61"/>
      <c r="AK88" s="61"/>
      <c r="AL88" s="61"/>
      <c r="AM88" s="61"/>
      <c r="AN88" s="61"/>
      <c r="AO88" s="61"/>
      <c r="AP88" s="61"/>
      <c r="AQ88" s="61"/>
      <c r="AR88" s="61"/>
      <c r="AS88" s="61"/>
      <c r="AT88" s="61"/>
      <c r="AU88" s="61"/>
      <c r="AV88" s="61"/>
      <c r="AW88" s="61"/>
      <c r="AX88" s="61"/>
      <c r="AY88" s="61"/>
      <c r="AZ88" s="61"/>
      <c r="BA88" s="61"/>
      <c r="BB88" s="61"/>
      <c r="BC88" s="61"/>
      <c r="BD88" s="61"/>
      <c r="BE88" s="61"/>
      <c r="BF88" s="61"/>
      <c r="BG88" s="61"/>
      <c r="BH88" s="61"/>
      <c r="BI88" s="61"/>
      <c r="BJ88" s="61"/>
      <c r="BK88" s="61"/>
      <c r="BL88" s="61"/>
      <c r="BM88" s="61"/>
      <c r="BN88" s="61"/>
      <c r="BO88" s="61"/>
      <c r="BP88" s="61"/>
      <c r="BQ88" s="61"/>
      <c r="BR88" s="61"/>
      <c r="BS88" s="61"/>
      <c r="BT88" s="61"/>
      <c r="BU88" s="61"/>
      <c r="BV88" s="61"/>
      <c r="BW88" s="61"/>
      <c r="BX88" s="61"/>
      <c r="BY88" s="61"/>
    </row>
    <row r="89" customFormat="false" ht="15" hidden="false" customHeight="true" outlineLevel="0" collapsed="false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1"/>
      <c r="AA89" s="61"/>
      <c r="AB89" s="61"/>
      <c r="AC89" s="61"/>
      <c r="AD89" s="61"/>
      <c r="AE89" s="61"/>
      <c r="AF89" s="61"/>
      <c r="AG89" s="61"/>
      <c r="AH89" s="61"/>
      <c r="AI89" s="61"/>
      <c r="AJ89" s="61"/>
      <c r="AK89" s="61"/>
      <c r="AL89" s="61"/>
      <c r="AM89" s="61"/>
      <c r="AN89" s="61"/>
      <c r="AO89" s="61"/>
      <c r="AP89" s="61"/>
      <c r="AQ89" s="61"/>
      <c r="AR89" s="61"/>
      <c r="AS89" s="61"/>
      <c r="AT89" s="61"/>
      <c r="AU89" s="61"/>
      <c r="AV89" s="61"/>
      <c r="AW89" s="61"/>
      <c r="AX89" s="61"/>
      <c r="AY89" s="61"/>
      <c r="AZ89" s="61"/>
      <c r="BA89" s="61"/>
      <c r="BB89" s="61"/>
      <c r="BC89" s="61"/>
      <c r="BD89" s="61"/>
      <c r="BE89" s="61"/>
      <c r="BF89" s="61"/>
      <c r="BG89" s="61"/>
      <c r="BH89" s="61"/>
      <c r="BI89" s="61"/>
      <c r="BJ89" s="61"/>
      <c r="BK89" s="61"/>
      <c r="BL89" s="61"/>
      <c r="BM89" s="61"/>
      <c r="BN89" s="61"/>
      <c r="BO89" s="61"/>
      <c r="BP89" s="61"/>
      <c r="BQ89" s="61"/>
      <c r="BR89" s="61"/>
      <c r="BS89" s="61"/>
      <c r="BT89" s="61"/>
      <c r="BU89" s="61"/>
      <c r="BV89" s="61"/>
      <c r="BW89" s="61"/>
      <c r="BX89" s="61"/>
      <c r="BY89" s="61"/>
    </row>
  </sheetData>
  <mergeCells count="532">
    <mergeCell ref="BD1:CG1"/>
    <mergeCell ref="A2:BC2"/>
    <mergeCell ref="BD2:CG2"/>
    <mergeCell ref="CI2:CP2"/>
    <mergeCell ref="A3:F3"/>
    <mergeCell ref="G3:J3"/>
    <mergeCell ref="K3:Y3"/>
    <mergeCell ref="Z3:AN3"/>
    <mergeCell ref="AO3:BC3"/>
    <mergeCell ref="BD3:BT3"/>
    <mergeCell ref="BU3:BY3"/>
    <mergeCell ref="BZ3:CG3"/>
    <mergeCell ref="A4:AN4"/>
    <mergeCell ref="AQ4:AT4"/>
    <mergeCell ref="AU4:BC4"/>
    <mergeCell ref="BD4:CG4"/>
    <mergeCell ref="A5:F5"/>
    <mergeCell ref="G5:J5"/>
    <mergeCell ref="K5:Y5"/>
    <mergeCell ref="Z5:AN5"/>
    <mergeCell ref="AQ5:AT5"/>
    <mergeCell ref="AU5:BC5"/>
    <mergeCell ref="BD5:BF5"/>
    <mergeCell ref="BG5:BT5"/>
    <mergeCell ref="BU5:BY5"/>
    <mergeCell ref="BZ5:CG5"/>
    <mergeCell ref="A6:F6"/>
    <mergeCell ref="G6:J6"/>
    <mergeCell ref="K6:Y6"/>
    <mergeCell ref="Z6:AN6"/>
    <mergeCell ref="AQ6:AT6"/>
    <mergeCell ref="AU6:BC6"/>
    <mergeCell ref="BD6:BF6"/>
    <mergeCell ref="BG6:BT6"/>
    <mergeCell ref="BU6:BY6"/>
    <mergeCell ref="BZ6:CG6"/>
    <mergeCell ref="A7:F7"/>
    <mergeCell ref="G7:J7"/>
    <mergeCell ref="K7:Y7"/>
    <mergeCell ref="Z7:AN7"/>
    <mergeCell ref="AQ7:AT7"/>
    <mergeCell ref="AU7:BC7"/>
    <mergeCell ref="BD7:BF7"/>
    <mergeCell ref="BG7:BT7"/>
    <mergeCell ref="BU7:BY7"/>
    <mergeCell ref="BZ7:CG7"/>
    <mergeCell ref="A8:F8"/>
    <mergeCell ref="G8:J8"/>
    <mergeCell ref="K8:Y8"/>
    <mergeCell ref="Z8:AN8"/>
    <mergeCell ref="AQ8:AT8"/>
    <mergeCell ref="AU8:BC8"/>
    <mergeCell ref="BD8:BF8"/>
    <mergeCell ref="BG8:BT8"/>
    <mergeCell ref="BU8:BY8"/>
    <mergeCell ref="BZ8:CG8"/>
    <mergeCell ref="A9:F9"/>
    <mergeCell ref="G9:J9"/>
    <mergeCell ref="K9:Y9"/>
    <mergeCell ref="Z9:AN9"/>
    <mergeCell ref="AQ9:AT9"/>
    <mergeCell ref="AU9:BC9"/>
    <mergeCell ref="BD9:BF9"/>
    <mergeCell ref="BG9:BT9"/>
    <mergeCell ref="BU9:BY9"/>
    <mergeCell ref="BZ9:CG9"/>
    <mergeCell ref="A10:F10"/>
    <mergeCell ref="G10:J10"/>
    <mergeCell ref="K10:Y10"/>
    <mergeCell ref="Z10:AN10"/>
    <mergeCell ref="AQ10:AT10"/>
    <mergeCell ref="AU10:BC10"/>
    <mergeCell ref="BD10:BF10"/>
    <mergeCell ref="BG10:BT10"/>
    <mergeCell ref="BU10:BY10"/>
    <mergeCell ref="BZ10:CG10"/>
    <mergeCell ref="A11:F11"/>
    <mergeCell ref="G11:J11"/>
    <mergeCell ref="K11:Y11"/>
    <mergeCell ref="Z11:AN11"/>
    <mergeCell ref="AQ11:AT11"/>
    <mergeCell ref="AU11:BC11"/>
    <mergeCell ref="BD11:BF11"/>
    <mergeCell ref="BG11:BT11"/>
    <mergeCell ref="BU11:BY11"/>
    <mergeCell ref="BZ11:CG11"/>
    <mergeCell ref="A12:F12"/>
    <mergeCell ref="G12:J12"/>
    <mergeCell ref="K12:Y12"/>
    <mergeCell ref="Z12:AN12"/>
    <mergeCell ref="AQ12:AT12"/>
    <mergeCell ref="AU12:BC12"/>
    <mergeCell ref="BD12:BF12"/>
    <mergeCell ref="BG12:BT12"/>
    <mergeCell ref="BU12:BY12"/>
    <mergeCell ref="BZ12:CG12"/>
    <mergeCell ref="A13:F13"/>
    <mergeCell ref="G13:J13"/>
    <mergeCell ref="K13:Y13"/>
    <mergeCell ref="Z13:AN13"/>
    <mergeCell ref="AQ13:AT13"/>
    <mergeCell ref="AU13:BC13"/>
    <mergeCell ref="BD13:BF13"/>
    <mergeCell ref="BG13:BT13"/>
    <mergeCell ref="BU13:BY13"/>
    <mergeCell ref="BZ13:CG13"/>
    <mergeCell ref="A14:F14"/>
    <mergeCell ref="G14:J14"/>
    <mergeCell ref="K14:Y14"/>
    <mergeCell ref="Z14:AN14"/>
    <mergeCell ref="AQ14:AT14"/>
    <mergeCell ref="AU14:BC14"/>
    <mergeCell ref="BD14:BF14"/>
    <mergeCell ref="BG14:BT14"/>
    <mergeCell ref="BU14:BY14"/>
    <mergeCell ref="BZ14:CG14"/>
    <mergeCell ref="A15:F15"/>
    <mergeCell ref="G15:J15"/>
    <mergeCell ref="K15:Y15"/>
    <mergeCell ref="Z15:AN15"/>
    <mergeCell ref="AQ15:AT15"/>
    <mergeCell ref="AU15:BC15"/>
    <mergeCell ref="BD15:BF15"/>
    <mergeCell ref="BG15:BT15"/>
    <mergeCell ref="BU15:BY15"/>
    <mergeCell ref="BZ15:CG15"/>
    <mergeCell ref="A16:BC16"/>
    <mergeCell ref="BD16:CG16"/>
    <mergeCell ref="A17:F18"/>
    <mergeCell ref="G17:J18"/>
    <mergeCell ref="K17:Y18"/>
    <mergeCell ref="Z17:AH17"/>
    <mergeCell ref="AI17:AN17"/>
    <mergeCell ref="AO17:AO18"/>
    <mergeCell ref="AP17:AP18"/>
    <mergeCell ref="AQ17:AT18"/>
    <mergeCell ref="AU17:BC18"/>
    <mergeCell ref="BD17:BF18"/>
    <mergeCell ref="BG17:BT18"/>
    <mergeCell ref="BU17:BY18"/>
    <mergeCell ref="BZ17:CG18"/>
    <mergeCell ref="Z18:AH18"/>
    <mergeCell ref="AI18:AN18"/>
    <mergeCell ref="A19:AN19"/>
    <mergeCell ref="AQ19:AT19"/>
    <mergeCell ref="AU19:BC19"/>
    <mergeCell ref="BD19:CG19"/>
    <mergeCell ref="A20:AN20"/>
    <mergeCell ref="AQ20:AT20"/>
    <mergeCell ref="AU20:BC20"/>
    <mergeCell ref="A21:AN21"/>
    <mergeCell ref="AQ21:AT21"/>
    <mergeCell ref="AU21:BC21"/>
    <mergeCell ref="A22:AN22"/>
    <mergeCell ref="AQ22:AT22"/>
    <mergeCell ref="AU22:BC22"/>
    <mergeCell ref="A23:AN23"/>
    <mergeCell ref="AQ23:AT23"/>
    <mergeCell ref="A24:AN24"/>
    <mergeCell ref="AQ24:AT24"/>
    <mergeCell ref="A25:AN25"/>
    <mergeCell ref="AQ25:AT25"/>
    <mergeCell ref="A26:AN26"/>
    <mergeCell ref="AQ26:AT26"/>
    <mergeCell ref="A27:AN27"/>
    <mergeCell ref="AQ27:AT27"/>
    <mergeCell ref="A28:AN28"/>
    <mergeCell ref="AQ28:AT28"/>
    <mergeCell ref="A29:AN29"/>
    <mergeCell ref="AQ29:AT29"/>
    <mergeCell ref="A30:AN30"/>
    <mergeCell ref="AQ30:AT30"/>
    <mergeCell ref="A31:F32"/>
    <mergeCell ref="G31:J32"/>
    <mergeCell ref="K31:Y32"/>
    <mergeCell ref="Z31:AH32"/>
    <mergeCell ref="AI31:AN32"/>
    <mergeCell ref="AO31:AO32"/>
    <mergeCell ref="AP31:AP32"/>
    <mergeCell ref="AQ31:AT32"/>
    <mergeCell ref="AU31:BC32"/>
    <mergeCell ref="BD31:BF32"/>
    <mergeCell ref="BG31:BT32"/>
    <mergeCell ref="BU31:BY32"/>
    <mergeCell ref="BZ31:CG32"/>
    <mergeCell ref="A33:AN33"/>
    <mergeCell ref="AU33:BC33"/>
    <mergeCell ref="BD33:CG33"/>
    <mergeCell ref="A34:F35"/>
    <mergeCell ref="G34:J35"/>
    <mergeCell ref="K34:Y35"/>
    <mergeCell ref="Z34:AH34"/>
    <mergeCell ref="AI34:AN34"/>
    <mergeCell ref="AO34:AO35"/>
    <mergeCell ref="AP34:AP35"/>
    <mergeCell ref="AQ34:AT35"/>
    <mergeCell ref="AU34:BC35"/>
    <mergeCell ref="BD34:BF35"/>
    <mergeCell ref="BG34:BT35"/>
    <mergeCell ref="BU34:BY35"/>
    <mergeCell ref="BZ34:CG35"/>
    <mergeCell ref="Z35:AH35"/>
    <mergeCell ref="AI35:AN35"/>
    <mergeCell ref="A36:F36"/>
    <mergeCell ref="G36:J36"/>
    <mergeCell ref="K36:Y36"/>
    <mergeCell ref="Z36:AH36"/>
    <mergeCell ref="AI36:AN36"/>
    <mergeCell ref="AQ36:AT36"/>
    <mergeCell ref="AU36:BC36"/>
    <mergeCell ref="BD36:BF36"/>
    <mergeCell ref="BG36:BT36"/>
    <mergeCell ref="BU36:BY36"/>
    <mergeCell ref="BZ36:CG36"/>
    <mergeCell ref="A37:F38"/>
    <mergeCell ref="G37:J38"/>
    <mergeCell ref="K37:Y38"/>
    <mergeCell ref="Z37:AH37"/>
    <mergeCell ref="AI37:AN37"/>
    <mergeCell ref="AO37:AO38"/>
    <mergeCell ref="AP37:AP38"/>
    <mergeCell ref="AQ37:AT38"/>
    <mergeCell ref="AU37:BC38"/>
    <mergeCell ref="BD37:BF38"/>
    <mergeCell ref="BG37:BT38"/>
    <mergeCell ref="BU37:BY38"/>
    <mergeCell ref="BZ37:CG38"/>
    <mergeCell ref="Z38:AH38"/>
    <mergeCell ref="AI38:AN38"/>
    <mergeCell ref="A39:F39"/>
    <mergeCell ref="G39:J39"/>
    <mergeCell ref="K39:Y39"/>
    <mergeCell ref="Z39:AN39"/>
    <mergeCell ref="AQ39:AT39"/>
    <mergeCell ref="AU39:BC39"/>
    <mergeCell ref="BD39:BF39"/>
    <mergeCell ref="BG39:BT39"/>
    <mergeCell ref="BU39:BY39"/>
    <mergeCell ref="BZ39:CG39"/>
    <mergeCell ref="A40:F41"/>
    <mergeCell ref="G40:J41"/>
    <mergeCell ref="K40:Y41"/>
    <mergeCell ref="Z40:AN41"/>
    <mergeCell ref="AO40:AO41"/>
    <mergeCell ref="AP40:AP41"/>
    <mergeCell ref="AQ40:AT41"/>
    <mergeCell ref="AU40:BC41"/>
    <mergeCell ref="BD40:BF41"/>
    <mergeCell ref="BG40:BT41"/>
    <mergeCell ref="BU40:BY41"/>
    <mergeCell ref="BZ40:CG41"/>
    <mergeCell ref="A42:F42"/>
    <mergeCell ref="G42:J42"/>
    <mergeCell ref="K42:Y42"/>
    <mergeCell ref="Z42:AH42"/>
    <mergeCell ref="AI42:AN42"/>
    <mergeCell ref="AQ42:AT42"/>
    <mergeCell ref="AU42:BC42"/>
    <mergeCell ref="BD42:BF42"/>
    <mergeCell ref="BG42:BT42"/>
    <mergeCell ref="BU42:BY42"/>
    <mergeCell ref="BZ42:CG42"/>
    <mergeCell ref="A43:F44"/>
    <mergeCell ref="G43:J44"/>
    <mergeCell ref="K43:Y44"/>
    <mergeCell ref="Z43:AH43"/>
    <mergeCell ref="AI43:AN43"/>
    <mergeCell ref="AO43:AO44"/>
    <mergeCell ref="AP43:AP44"/>
    <mergeCell ref="AQ43:AT44"/>
    <mergeCell ref="AU43:BC44"/>
    <mergeCell ref="BD43:BF44"/>
    <mergeCell ref="BG43:BT44"/>
    <mergeCell ref="BU43:BY44"/>
    <mergeCell ref="BZ43:CG44"/>
    <mergeCell ref="Z44:AH44"/>
    <mergeCell ref="AI44:AN44"/>
    <mergeCell ref="A45:F46"/>
    <mergeCell ref="G45:J46"/>
    <mergeCell ref="K45:Y46"/>
    <mergeCell ref="Z45:AH45"/>
    <mergeCell ref="AI45:AN45"/>
    <mergeCell ref="AO45:AO46"/>
    <mergeCell ref="AP45:AP46"/>
    <mergeCell ref="AQ45:AT46"/>
    <mergeCell ref="AU45:BC46"/>
    <mergeCell ref="BD45:BF46"/>
    <mergeCell ref="BG45:BT46"/>
    <mergeCell ref="BU45:BY46"/>
    <mergeCell ref="BZ45:CG46"/>
    <mergeCell ref="Z46:AH46"/>
    <mergeCell ref="AI46:AN46"/>
    <mergeCell ref="A47:BC47"/>
    <mergeCell ref="BD47:CG47"/>
    <mergeCell ref="A48:F49"/>
    <mergeCell ref="G48:J49"/>
    <mergeCell ref="K48:Y49"/>
    <mergeCell ref="Z48:AN49"/>
    <mergeCell ref="AO48:AO49"/>
    <mergeCell ref="AP48:AP49"/>
    <mergeCell ref="AQ48:AT49"/>
    <mergeCell ref="AU48:BC49"/>
    <mergeCell ref="BD48:BF49"/>
    <mergeCell ref="BG48:BT49"/>
    <mergeCell ref="BU48:BY49"/>
    <mergeCell ref="BZ48:CG49"/>
    <mergeCell ref="A50:F51"/>
    <mergeCell ref="G50:J51"/>
    <mergeCell ref="K50:Y51"/>
    <mergeCell ref="Z50:AH51"/>
    <mergeCell ref="AI50:AN51"/>
    <mergeCell ref="AO50:AO51"/>
    <mergeCell ref="AP50:AP51"/>
    <mergeCell ref="AQ50:AT51"/>
    <mergeCell ref="AU50:BC51"/>
    <mergeCell ref="BD50:BF51"/>
    <mergeCell ref="BG50:BT51"/>
    <mergeCell ref="BU50:BY51"/>
    <mergeCell ref="BZ50:CG51"/>
    <mergeCell ref="A52:F53"/>
    <mergeCell ref="G52:J53"/>
    <mergeCell ref="K52:Y53"/>
    <mergeCell ref="Z52:AH53"/>
    <mergeCell ref="AI52:AN53"/>
    <mergeCell ref="AO52:AO53"/>
    <mergeCell ref="AP52:AP53"/>
    <mergeCell ref="AQ52:AT53"/>
    <mergeCell ref="AU52:BC53"/>
    <mergeCell ref="BD52:BF53"/>
    <mergeCell ref="BG52:BT53"/>
    <mergeCell ref="BU52:BY53"/>
    <mergeCell ref="BZ52:CG53"/>
    <mergeCell ref="A54:F56"/>
    <mergeCell ref="G54:J56"/>
    <mergeCell ref="K54:Y56"/>
    <mergeCell ref="Z54:AH56"/>
    <mergeCell ref="AI54:AN56"/>
    <mergeCell ref="AO54:AO56"/>
    <mergeCell ref="AP54:AP56"/>
    <mergeCell ref="AQ54:AT56"/>
    <mergeCell ref="AU54:BC56"/>
    <mergeCell ref="BD54:BF56"/>
    <mergeCell ref="BG54:BT56"/>
    <mergeCell ref="BU54:BY56"/>
    <mergeCell ref="BZ54:CG56"/>
    <mergeCell ref="A57:BC57"/>
    <mergeCell ref="BD57:CG57"/>
    <mergeCell ref="A58:F60"/>
    <mergeCell ref="G58:J60"/>
    <mergeCell ref="K58:Y60"/>
    <mergeCell ref="Z58:AH60"/>
    <mergeCell ref="AI58:AN60"/>
    <mergeCell ref="AO58:AO60"/>
    <mergeCell ref="AP58:AP60"/>
    <mergeCell ref="AQ58:AT60"/>
    <mergeCell ref="AU58:BC60"/>
    <mergeCell ref="BD58:BF60"/>
    <mergeCell ref="BG58:BT60"/>
    <mergeCell ref="BU58:BY60"/>
    <mergeCell ref="BZ58:CG60"/>
    <mergeCell ref="A61:F64"/>
    <mergeCell ref="G61:J64"/>
    <mergeCell ref="K61:Y64"/>
    <mergeCell ref="Z61:AH62"/>
    <mergeCell ref="AI61:AN62"/>
    <mergeCell ref="AO61:AO64"/>
    <mergeCell ref="AP61:AP64"/>
    <mergeCell ref="AQ61:AT64"/>
    <mergeCell ref="AU61:BC64"/>
    <mergeCell ref="BD61:BF64"/>
    <mergeCell ref="BG61:BT64"/>
    <mergeCell ref="BU61:BY64"/>
    <mergeCell ref="BZ61:CG64"/>
    <mergeCell ref="Z63:AH64"/>
    <mergeCell ref="AI63:AN64"/>
    <mergeCell ref="A65:F67"/>
    <mergeCell ref="G65:J67"/>
    <mergeCell ref="K65:Y67"/>
    <mergeCell ref="Z65:AH67"/>
    <mergeCell ref="AI65:AN67"/>
    <mergeCell ref="AO65:AO67"/>
    <mergeCell ref="AP65:AP67"/>
    <mergeCell ref="AQ65:AT67"/>
    <mergeCell ref="AU65:BC67"/>
    <mergeCell ref="BD65:BF67"/>
    <mergeCell ref="BG65:BT67"/>
    <mergeCell ref="BU65:BY67"/>
    <mergeCell ref="BZ65:CG67"/>
    <mergeCell ref="A68:F70"/>
    <mergeCell ref="G68:J70"/>
    <mergeCell ref="K68:Y70"/>
    <mergeCell ref="Z68:AN70"/>
    <mergeCell ref="AO68:AO70"/>
    <mergeCell ref="AP68:AP70"/>
    <mergeCell ref="AQ68:AT70"/>
    <mergeCell ref="AU68:BC70"/>
    <mergeCell ref="BD68:BF70"/>
    <mergeCell ref="BG68:BT70"/>
    <mergeCell ref="BU68:BY70"/>
    <mergeCell ref="BZ68:CG70"/>
    <mergeCell ref="A71:BC71"/>
    <mergeCell ref="BD71:CG71"/>
    <mergeCell ref="A72:F72"/>
    <mergeCell ref="G72:J72"/>
    <mergeCell ref="K72:Y72"/>
    <mergeCell ref="Z72:AH72"/>
    <mergeCell ref="AI72:AN72"/>
    <mergeCell ref="AO72:AV72"/>
    <mergeCell ref="AW72:BC72"/>
    <mergeCell ref="BD72:BF72"/>
    <mergeCell ref="BG72:BT72"/>
    <mergeCell ref="BU72:BY72"/>
    <mergeCell ref="BZ72:CG72"/>
    <mergeCell ref="A73:F73"/>
    <mergeCell ref="G73:J73"/>
    <mergeCell ref="K73:Y73"/>
    <mergeCell ref="Z73:AN73"/>
    <mergeCell ref="AO73:BC73"/>
    <mergeCell ref="BD73:BT73"/>
    <mergeCell ref="BU73:BY73"/>
    <mergeCell ref="A74:F74"/>
    <mergeCell ref="G74:J74"/>
    <mergeCell ref="K74:Y74"/>
    <mergeCell ref="Z74:AN74"/>
    <mergeCell ref="AO74:BC74"/>
    <mergeCell ref="BD74:BT74"/>
    <mergeCell ref="BU74:BY74"/>
    <mergeCell ref="A75:F75"/>
    <mergeCell ref="G75:J75"/>
    <mergeCell ref="K75:Y75"/>
    <mergeCell ref="Z75:AN75"/>
    <mergeCell ref="AO75:BC75"/>
    <mergeCell ref="BD75:BT75"/>
    <mergeCell ref="BU75:BY75"/>
    <mergeCell ref="A76:F76"/>
    <mergeCell ref="G76:J76"/>
    <mergeCell ref="K76:Y76"/>
    <mergeCell ref="Z76:AN76"/>
    <mergeCell ref="AO76:BC76"/>
    <mergeCell ref="BD76:BT76"/>
    <mergeCell ref="BU76:BY76"/>
    <mergeCell ref="A77:F77"/>
    <mergeCell ref="G77:J77"/>
    <mergeCell ref="K77:Y77"/>
    <mergeCell ref="Z77:AN77"/>
    <mergeCell ref="AO77:BC77"/>
    <mergeCell ref="BD77:BT77"/>
    <mergeCell ref="BU77:BY77"/>
    <mergeCell ref="A78:F78"/>
    <mergeCell ref="G78:J78"/>
    <mergeCell ref="K78:Y78"/>
    <mergeCell ref="Z78:AN78"/>
    <mergeCell ref="AO78:BC78"/>
    <mergeCell ref="BD78:BT78"/>
    <mergeCell ref="BU78:BY78"/>
    <mergeCell ref="A79:F79"/>
    <mergeCell ref="G79:J79"/>
    <mergeCell ref="K79:Y79"/>
    <mergeCell ref="Z79:AN79"/>
    <mergeCell ref="AO79:BC79"/>
    <mergeCell ref="BD79:BT79"/>
    <mergeCell ref="BU79:BY79"/>
    <mergeCell ref="A80:F80"/>
    <mergeCell ref="G80:J80"/>
    <mergeCell ref="K80:Y80"/>
    <mergeCell ref="Z80:AN80"/>
    <mergeCell ref="AO80:BC80"/>
    <mergeCell ref="BD80:BT80"/>
    <mergeCell ref="BU80:BY80"/>
    <mergeCell ref="A81:F81"/>
    <mergeCell ref="G81:J81"/>
    <mergeCell ref="K81:Y81"/>
    <mergeCell ref="Z81:AN81"/>
    <mergeCell ref="AO81:BC81"/>
    <mergeCell ref="BD81:BT81"/>
    <mergeCell ref="BU81:BY81"/>
    <mergeCell ref="A82:F82"/>
    <mergeCell ref="G82:J82"/>
    <mergeCell ref="K82:Y82"/>
    <mergeCell ref="Z82:AN82"/>
    <mergeCell ref="AO82:BC82"/>
    <mergeCell ref="BD82:BT82"/>
    <mergeCell ref="BU82:BY82"/>
    <mergeCell ref="A83:F83"/>
    <mergeCell ref="G83:J83"/>
    <mergeCell ref="K83:Y83"/>
    <mergeCell ref="Z83:AN83"/>
    <mergeCell ref="AO83:BC83"/>
    <mergeCell ref="BD83:BT83"/>
    <mergeCell ref="BU83:BY83"/>
    <mergeCell ref="A84:F84"/>
    <mergeCell ref="G84:J84"/>
    <mergeCell ref="K84:Y84"/>
    <mergeCell ref="Z84:AN84"/>
    <mergeCell ref="AO84:BC84"/>
    <mergeCell ref="BD84:BT84"/>
    <mergeCell ref="BU84:BY84"/>
    <mergeCell ref="A85:F85"/>
    <mergeCell ref="G85:J85"/>
    <mergeCell ref="K85:Y85"/>
    <mergeCell ref="Z85:AN85"/>
    <mergeCell ref="AO85:BC85"/>
    <mergeCell ref="BD85:BT85"/>
    <mergeCell ref="BU85:BY85"/>
    <mergeCell ref="A86:F86"/>
    <mergeCell ref="G86:J86"/>
    <mergeCell ref="K86:Y86"/>
    <mergeCell ref="Z86:AN86"/>
    <mergeCell ref="AO86:BC86"/>
    <mergeCell ref="BD86:BT86"/>
    <mergeCell ref="BU86:BY86"/>
    <mergeCell ref="A87:F87"/>
    <mergeCell ref="G87:J87"/>
    <mergeCell ref="K87:Y87"/>
    <mergeCell ref="Z87:AN87"/>
    <mergeCell ref="AO87:BC87"/>
    <mergeCell ref="BD87:BT87"/>
    <mergeCell ref="BU87:BY87"/>
    <mergeCell ref="A88:F88"/>
    <mergeCell ref="G88:J88"/>
    <mergeCell ref="K88:Y88"/>
    <mergeCell ref="Z88:AN88"/>
    <mergeCell ref="AO88:BC88"/>
    <mergeCell ref="BD88:BT88"/>
    <mergeCell ref="BU88:BY88"/>
    <mergeCell ref="A89:F89"/>
    <mergeCell ref="G89:J89"/>
    <mergeCell ref="K89:Y89"/>
    <mergeCell ref="Z89:AN89"/>
    <mergeCell ref="AO89:BC89"/>
    <mergeCell ref="BD89:BT89"/>
    <mergeCell ref="BU89:BY89"/>
  </mergeCells>
  <conditionalFormatting sqref="G31:J32">
    <cfRule type="cellIs" priority="2" operator="equal" aboveAverage="0" equalAverage="0" bottom="0" percent="0" rank="0" text="" dxfId="0">
      <formula>"İMTİNA"</formula>
    </cfRule>
  </conditionalFormatting>
  <conditionalFormatting sqref="G39">
    <cfRule type="cellIs" priority="3" operator="equal" aboveAverage="0" equalAverage="0" bottom="0" percent="0" rank="0" text="" dxfId="0">
      <formula>"İMTİNA"</formula>
    </cfRule>
  </conditionalFormatting>
  <conditionalFormatting sqref="G34:J36 G37 G40:J46">
    <cfRule type="cellIs" priority="4" operator="equal" aboveAverage="0" equalAverage="0" bottom="0" percent="0" rank="0" text="" dxfId="0">
      <formula>"İMTİNA"</formula>
    </cfRule>
  </conditionalFormatting>
  <conditionalFormatting sqref="G54">
    <cfRule type="cellIs" priority="5" operator="equal" aboveAverage="0" equalAverage="0" bottom="0" percent="0" rank="0" text="" dxfId="0">
      <formula>"İMTİNA"</formula>
    </cfRule>
  </conditionalFormatting>
  <conditionalFormatting sqref="G5:J15 G17:J18 G48 G50 G52 G58:J70 G72:J72">
    <cfRule type="cellIs" priority="6" operator="equal" aboveAverage="0" equalAverage="0" bottom="0" percent="0" rank="0" text="" dxfId="0">
      <formula>"İMTİNA"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B59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AQ20" activeCellId="0" sqref="AQ20"/>
    </sheetView>
  </sheetViews>
  <sheetFormatPr defaultColWidth="2.66796875" defaultRowHeight="14.25" customHeight="true" zeroHeight="false" outlineLevelRow="0" outlineLevelCol="0"/>
  <cols>
    <col collapsed="false" customWidth="false" hidden="false" outlineLevel="0" max="10" min="1" style="1" width="2.67"/>
    <col collapsed="false" customWidth="false" hidden="false" outlineLevel="0" max="25" min="11" style="2" width="2.67"/>
    <col collapsed="false" customWidth="false" hidden="false" outlineLevel="0" max="40" min="26" style="3" width="2.67"/>
    <col collapsed="false" customWidth="true" hidden="false" outlineLevel="0" max="41" min="41" style="3" width="22.67"/>
    <col collapsed="false" customWidth="true" hidden="false" outlineLevel="0" max="42" min="42" style="3" width="34.11"/>
    <col collapsed="false" customWidth="true" hidden="false" outlineLevel="0" max="43" min="43" style="3" width="17.88"/>
    <col collapsed="false" customWidth="false" hidden="false" outlineLevel="0" max="45" min="44" style="3" width="2.67"/>
    <col collapsed="false" customWidth="true" hidden="false" outlineLevel="0" max="46" min="46" style="3" width="8.88"/>
    <col collapsed="false" customWidth="false" hidden="false" outlineLevel="0" max="77" min="47" style="3" width="2.67"/>
    <col collapsed="false" customWidth="false" hidden="false" outlineLevel="0" max="85" min="78" style="4" width="2.67"/>
  </cols>
  <sheetData>
    <row r="1" customFormat="false" ht="15" hidden="false" customHeight="true" outlineLevel="0" collapsed="false"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</row>
    <row r="2" customFormat="false" ht="30" hidden="false" customHeight="true" outlineLevel="0" collapsed="false">
      <c r="A2" s="6" t="s">
        <v>184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I2" s="7" t="s">
        <v>0</v>
      </c>
      <c r="CJ2" s="7"/>
      <c r="CK2" s="7"/>
      <c r="CL2" s="7"/>
      <c r="CM2" s="7"/>
      <c r="CN2" s="7"/>
      <c r="CO2" s="7"/>
      <c r="CP2" s="7"/>
      <c r="CR2" s="8" t="s">
        <v>1</v>
      </c>
    </row>
    <row r="3" customFormat="false" ht="75" hidden="false" customHeight="true" outlineLevel="0" collapsed="false">
      <c r="A3" s="9" t="s">
        <v>2</v>
      </c>
      <c r="B3" s="9"/>
      <c r="C3" s="9"/>
      <c r="D3" s="9"/>
      <c r="E3" s="9"/>
      <c r="F3" s="9"/>
      <c r="G3" s="9" t="s">
        <v>3</v>
      </c>
      <c r="H3" s="9"/>
      <c r="I3" s="9"/>
      <c r="J3" s="9"/>
      <c r="K3" s="10" t="s">
        <v>4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 t="s">
        <v>5</v>
      </c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 t="s">
        <v>6</v>
      </c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1" t="s">
        <v>7</v>
      </c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 t="s">
        <v>8</v>
      </c>
      <c r="BV3" s="11"/>
      <c r="BW3" s="11"/>
      <c r="BX3" s="11"/>
      <c r="BY3" s="11"/>
      <c r="BZ3" s="9" t="s">
        <v>9</v>
      </c>
      <c r="CA3" s="9"/>
      <c r="CB3" s="9"/>
      <c r="CC3" s="9"/>
      <c r="CD3" s="9"/>
      <c r="CE3" s="9"/>
      <c r="CF3" s="9"/>
      <c r="CG3" s="9"/>
    </row>
    <row r="4" customFormat="false" ht="20.25" hidden="false" customHeight="true" outlineLevel="0" collapsed="false">
      <c r="A4" s="12" t="s">
        <v>10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3" t="s">
        <v>11</v>
      </c>
      <c r="AP4" s="14" t="s">
        <v>12</v>
      </c>
      <c r="AQ4" s="14" t="s">
        <v>13</v>
      </c>
      <c r="AR4" s="14"/>
      <c r="AS4" s="14"/>
      <c r="AT4" s="14"/>
      <c r="AU4" s="15"/>
      <c r="AV4" s="15"/>
      <c r="AW4" s="15"/>
      <c r="AX4" s="15"/>
      <c r="AY4" s="15"/>
      <c r="AZ4" s="15"/>
      <c r="BA4" s="15"/>
      <c r="BB4" s="15"/>
      <c r="BC4" s="15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</row>
    <row r="5" customFormat="false" ht="57" hidden="false" customHeight="true" outlineLevel="0" collapsed="false">
      <c r="A5" s="17" t="s">
        <v>14</v>
      </c>
      <c r="B5" s="17"/>
      <c r="C5" s="17"/>
      <c r="D5" s="17"/>
      <c r="E5" s="17"/>
      <c r="F5" s="17"/>
      <c r="G5" s="18" t="s">
        <v>15</v>
      </c>
      <c r="H5" s="18"/>
      <c r="I5" s="18"/>
      <c r="J5" s="18"/>
      <c r="K5" s="19" t="s">
        <v>16</v>
      </c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20" t="s">
        <v>185</v>
      </c>
      <c r="AP5" s="20" t="s">
        <v>18</v>
      </c>
      <c r="AQ5" s="21" t="s">
        <v>94</v>
      </c>
      <c r="AR5" s="21"/>
      <c r="AS5" s="21"/>
      <c r="AT5" s="21"/>
      <c r="AU5" s="21" t="s">
        <v>20</v>
      </c>
      <c r="AV5" s="21"/>
      <c r="AW5" s="21"/>
      <c r="AX5" s="21"/>
      <c r="AY5" s="21"/>
      <c r="AZ5" s="21"/>
      <c r="BA5" s="21"/>
      <c r="BB5" s="21"/>
      <c r="BC5" s="21"/>
      <c r="BD5" s="22" t="s">
        <v>21</v>
      </c>
      <c r="BE5" s="22"/>
      <c r="BF5" s="22"/>
      <c r="BG5" s="23" t="str">
        <f aca="false">IFERROR(VLOOKUP('Cash ABC+ACZ'!BD5,Lookups111!A$4:B$38,2,FALSE()),"")</f>
        <v>Qara siyahı</v>
      </c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19"/>
      <c r="BV5" s="19"/>
      <c r="BW5" s="19"/>
      <c r="BX5" s="19"/>
      <c r="BY5" s="19"/>
      <c r="BZ5" s="24" t="n">
        <v>1</v>
      </c>
      <c r="CA5" s="24"/>
      <c r="CB5" s="24"/>
      <c r="CC5" s="24"/>
      <c r="CD5" s="24"/>
      <c r="CE5" s="24"/>
      <c r="CF5" s="24"/>
      <c r="CG5" s="24"/>
    </row>
    <row r="6" customFormat="false" ht="57" hidden="false" customHeight="true" outlineLevel="0" collapsed="false">
      <c r="A6" s="17" t="s">
        <v>22</v>
      </c>
      <c r="B6" s="17"/>
      <c r="C6" s="17"/>
      <c r="D6" s="17"/>
      <c r="E6" s="17"/>
      <c r="F6" s="17"/>
      <c r="G6" s="18" t="s">
        <v>15</v>
      </c>
      <c r="H6" s="18"/>
      <c r="I6" s="18"/>
      <c r="J6" s="18"/>
      <c r="K6" s="19" t="s">
        <v>23</v>
      </c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20" t="s">
        <v>17</v>
      </c>
      <c r="AP6" s="20" t="s">
        <v>18</v>
      </c>
      <c r="AQ6" s="21" t="s">
        <v>19</v>
      </c>
      <c r="AR6" s="21"/>
      <c r="AS6" s="21"/>
      <c r="AT6" s="21"/>
      <c r="AU6" s="21" t="s">
        <v>24</v>
      </c>
      <c r="AV6" s="21"/>
      <c r="AW6" s="21"/>
      <c r="AX6" s="21"/>
      <c r="AY6" s="21"/>
      <c r="AZ6" s="21"/>
      <c r="BA6" s="21"/>
      <c r="BB6" s="21"/>
      <c r="BC6" s="21"/>
      <c r="BD6" s="22" t="s">
        <v>25</v>
      </c>
      <c r="BE6" s="22"/>
      <c r="BF6" s="22"/>
      <c r="BG6" s="23" t="str">
        <f aca="false">IFERROR(VLOOKUP('Cash ABC+ACZ'!BD6,Lookups111!A$4:B$38,2,FALSE()),"")</f>
        <v>Gəliri kifayət etmir</v>
      </c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5" t="n">
        <v>15</v>
      </c>
      <c r="BV6" s="25"/>
      <c r="BW6" s="25"/>
      <c r="BX6" s="25"/>
      <c r="BY6" s="25"/>
      <c r="BZ6" s="24" t="n">
        <v>2</v>
      </c>
      <c r="CA6" s="24"/>
      <c r="CB6" s="24"/>
      <c r="CC6" s="24"/>
      <c r="CD6" s="24"/>
      <c r="CE6" s="24"/>
      <c r="CF6" s="24"/>
      <c r="CG6" s="24"/>
    </row>
    <row r="7" customFormat="false" ht="57" hidden="false" customHeight="true" outlineLevel="0" collapsed="false">
      <c r="A7" s="17" t="s">
        <v>26</v>
      </c>
      <c r="B7" s="17"/>
      <c r="C7" s="17"/>
      <c r="D7" s="17"/>
      <c r="E7" s="17"/>
      <c r="F7" s="17"/>
      <c r="G7" s="18" t="s">
        <v>15</v>
      </c>
      <c r="H7" s="18"/>
      <c r="I7" s="18"/>
      <c r="J7" s="18"/>
      <c r="K7" s="26" t="s">
        <v>27</v>
      </c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0" t="s">
        <v>17</v>
      </c>
      <c r="AP7" s="20" t="s">
        <v>18</v>
      </c>
      <c r="AQ7" s="21" t="s">
        <v>19</v>
      </c>
      <c r="AR7" s="21"/>
      <c r="AS7" s="21"/>
      <c r="AT7" s="21"/>
      <c r="AU7" s="21" t="s">
        <v>28</v>
      </c>
      <c r="AV7" s="21"/>
      <c r="AW7" s="21"/>
      <c r="AX7" s="21"/>
      <c r="AY7" s="21"/>
      <c r="AZ7" s="21"/>
      <c r="BA7" s="21"/>
      <c r="BB7" s="21"/>
      <c r="BC7" s="21"/>
      <c r="BD7" s="22" t="s">
        <v>29</v>
      </c>
      <c r="BE7" s="22"/>
      <c r="BF7" s="22"/>
      <c r="BG7" s="23" t="str">
        <f aca="false">IFERROR(VLOOKUP('Cash ABC+ACZ'!BD7,Lookups111!A$4:B$38,2,FALSE()),"")</f>
        <v>Mənfi kredit tarixçəsi</v>
      </c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7" t="n">
        <v>90</v>
      </c>
      <c r="BV7" s="27"/>
      <c r="BW7" s="27"/>
      <c r="BX7" s="27"/>
      <c r="BY7" s="27"/>
      <c r="BZ7" s="24" t="n">
        <v>3</v>
      </c>
      <c r="CA7" s="24"/>
      <c r="CB7" s="24"/>
      <c r="CC7" s="24"/>
      <c r="CD7" s="24"/>
      <c r="CE7" s="24"/>
      <c r="CF7" s="24"/>
      <c r="CG7" s="24"/>
    </row>
    <row r="8" customFormat="false" ht="57" hidden="false" customHeight="true" outlineLevel="0" collapsed="false">
      <c r="A8" s="17" t="s">
        <v>30</v>
      </c>
      <c r="B8" s="17"/>
      <c r="C8" s="17"/>
      <c r="D8" s="17"/>
      <c r="E8" s="17"/>
      <c r="F8" s="17"/>
      <c r="G8" s="18" t="s">
        <v>15</v>
      </c>
      <c r="H8" s="18"/>
      <c r="I8" s="18"/>
      <c r="J8" s="18"/>
      <c r="K8" s="26" t="s">
        <v>31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0" t="s">
        <v>17</v>
      </c>
      <c r="AP8" s="20" t="s">
        <v>18</v>
      </c>
      <c r="AQ8" s="21" t="s">
        <v>19</v>
      </c>
      <c r="AR8" s="21"/>
      <c r="AS8" s="21"/>
      <c r="AT8" s="21"/>
      <c r="AU8" s="21" t="s">
        <v>32</v>
      </c>
      <c r="AV8" s="21"/>
      <c r="AW8" s="21"/>
      <c r="AX8" s="21"/>
      <c r="AY8" s="21"/>
      <c r="AZ8" s="21"/>
      <c r="BA8" s="21"/>
      <c r="BB8" s="21"/>
      <c r="BC8" s="21"/>
      <c r="BD8" s="22" t="s">
        <v>33</v>
      </c>
      <c r="BE8" s="22"/>
      <c r="BF8" s="22"/>
      <c r="BG8" s="23" t="str">
        <f aca="false">IFERROR(VLOOKUP('Cash ABC+ACZ'!BD8,Lookups111!A$4:B$38,2,FALSE()),"")</f>
        <v>Ailə üzvlərinin mənfi tarixçəsi</v>
      </c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7" t="n">
        <v>15</v>
      </c>
      <c r="BV8" s="27"/>
      <c r="BW8" s="27"/>
      <c r="BX8" s="27"/>
      <c r="BY8" s="27"/>
      <c r="BZ8" s="24" t="n">
        <v>4</v>
      </c>
      <c r="CA8" s="24"/>
      <c r="CB8" s="24"/>
      <c r="CC8" s="24"/>
      <c r="CD8" s="24"/>
      <c r="CE8" s="24"/>
      <c r="CF8" s="24"/>
      <c r="CG8" s="24"/>
    </row>
    <row r="9" customFormat="false" ht="57" hidden="false" customHeight="true" outlineLevel="0" collapsed="false">
      <c r="A9" s="17" t="s">
        <v>34</v>
      </c>
      <c r="B9" s="17"/>
      <c r="C9" s="17"/>
      <c r="D9" s="17"/>
      <c r="E9" s="17"/>
      <c r="F9" s="17"/>
      <c r="G9" s="18" t="s">
        <v>15</v>
      </c>
      <c r="H9" s="18"/>
      <c r="I9" s="18"/>
      <c r="J9" s="18"/>
      <c r="K9" s="26" t="s">
        <v>35</v>
      </c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0" t="s">
        <v>17</v>
      </c>
      <c r="AP9" s="20" t="s">
        <v>18</v>
      </c>
      <c r="AQ9" s="21" t="s">
        <v>19</v>
      </c>
      <c r="AR9" s="21"/>
      <c r="AS9" s="21"/>
      <c r="AT9" s="21"/>
      <c r="AU9" s="21" t="s">
        <v>36</v>
      </c>
      <c r="AV9" s="21"/>
      <c r="AW9" s="21"/>
      <c r="AX9" s="21"/>
      <c r="AY9" s="21"/>
      <c r="AZ9" s="21"/>
      <c r="BA9" s="21"/>
      <c r="BB9" s="21"/>
      <c r="BC9" s="21"/>
      <c r="BD9" s="22" t="s">
        <v>37</v>
      </c>
      <c r="BE9" s="22"/>
      <c r="BF9" s="22"/>
      <c r="BG9" s="23" t="str">
        <f aca="false">IFERROR(VLOOKUP('Cash ABC+ACZ'!BD9,Lookups111!A$4:B$38,2,FALSE()),"")</f>
        <v>Yalan məlumat</v>
      </c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7" t="n">
        <v>15</v>
      </c>
      <c r="BV9" s="27"/>
      <c r="BW9" s="27"/>
      <c r="BX9" s="27"/>
      <c r="BY9" s="27"/>
      <c r="BZ9" s="24" t="n">
        <v>5</v>
      </c>
      <c r="CA9" s="24"/>
      <c r="CB9" s="24"/>
      <c r="CC9" s="24"/>
      <c r="CD9" s="24"/>
      <c r="CE9" s="24"/>
      <c r="CF9" s="24"/>
      <c r="CG9" s="24"/>
    </row>
    <row r="10" customFormat="false" ht="57" hidden="false" customHeight="true" outlineLevel="0" collapsed="false">
      <c r="A10" s="17" t="s">
        <v>38</v>
      </c>
      <c r="B10" s="17"/>
      <c r="C10" s="17"/>
      <c r="D10" s="17"/>
      <c r="E10" s="17"/>
      <c r="F10" s="17"/>
      <c r="G10" s="18" t="s">
        <v>15</v>
      </c>
      <c r="H10" s="18"/>
      <c r="I10" s="18"/>
      <c r="J10" s="18"/>
      <c r="K10" s="26" t="s">
        <v>39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0" t="s">
        <v>17</v>
      </c>
      <c r="AP10" s="20" t="s">
        <v>18</v>
      </c>
      <c r="AQ10" s="21" t="s">
        <v>19</v>
      </c>
      <c r="AR10" s="21"/>
      <c r="AS10" s="21"/>
      <c r="AT10" s="21"/>
      <c r="AU10" s="21" t="s">
        <v>40</v>
      </c>
      <c r="AV10" s="21"/>
      <c r="AW10" s="21"/>
      <c r="AX10" s="21"/>
      <c r="AY10" s="21"/>
      <c r="AZ10" s="21"/>
      <c r="BA10" s="21"/>
      <c r="BB10" s="21"/>
      <c r="BC10" s="21"/>
      <c r="BD10" s="22" t="s">
        <v>41</v>
      </c>
      <c r="BE10" s="22"/>
      <c r="BF10" s="22"/>
      <c r="BG10" s="23" t="str">
        <f aca="false">IFERROR(VLOOKUP('Cash ABC+ACZ'!BD10,Lookups111!A$4:B$38,2,FALSE()),"")</f>
        <v>Borc yüklülüyü çoxdur</v>
      </c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7" t="n">
        <v>3</v>
      </c>
      <c r="BV10" s="27"/>
      <c r="BW10" s="27"/>
      <c r="BX10" s="27"/>
      <c r="BY10" s="27"/>
      <c r="BZ10" s="24" t="n">
        <v>6</v>
      </c>
      <c r="CA10" s="24"/>
      <c r="CB10" s="24"/>
      <c r="CC10" s="24"/>
      <c r="CD10" s="24"/>
      <c r="CE10" s="24"/>
      <c r="CF10" s="24"/>
      <c r="CG10" s="24"/>
    </row>
    <row r="11" customFormat="false" ht="57" hidden="false" customHeight="true" outlineLevel="0" collapsed="false">
      <c r="A11" s="17" t="s">
        <v>42</v>
      </c>
      <c r="B11" s="17"/>
      <c r="C11" s="17"/>
      <c r="D11" s="17"/>
      <c r="E11" s="17"/>
      <c r="F11" s="17"/>
      <c r="G11" s="18" t="s">
        <v>15</v>
      </c>
      <c r="H11" s="18"/>
      <c r="I11" s="18"/>
      <c r="J11" s="18"/>
      <c r="K11" s="26" t="s">
        <v>43</v>
      </c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0" t="s">
        <v>17</v>
      </c>
      <c r="AP11" s="20" t="s">
        <v>18</v>
      </c>
      <c r="AQ11" s="21" t="s">
        <v>19</v>
      </c>
      <c r="AR11" s="21"/>
      <c r="AS11" s="21"/>
      <c r="AT11" s="21"/>
      <c r="AU11" s="21" t="s">
        <v>44</v>
      </c>
      <c r="AV11" s="21"/>
      <c r="AW11" s="21"/>
      <c r="AX11" s="21"/>
      <c r="AY11" s="21"/>
      <c r="AZ11" s="21"/>
      <c r="BA11" s="21"/>
      <c r="BB11" s="21"/>
      <c r="BC11" s="21"/>
      <c r="BD11" s="22" t="s">
        <v>45</v>
      </c>
      <c r="BE11" s="22"/>
      <c r="BF11" s="22"/>
      <c r="BG11" s="23" t="str">
        <f aca="false">IFERROR(VLOOKUP('Cash ABC+ACZ'!BD11,Lookups111!A$4:B$38,2,FALSE()),"")</f>
        <v>Əmək stajı azdır</v>
      </c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7" t="n">
        <v>3</v>
      </c>
      <c r="BV11" s="27"/>
      <c r="BW11" s="27"/>
      <c r="BX11" s="27"/>
      <c r="BY11" s="27"/>
      <c r="BZ11" s="24" t="n">
        <v>7</v>
      </c>
      <c r="CA11" s="24"/>
      <c r="CB11" s="24"/>
      <c r="CC11" s="24"/>
      <c r="CD11" s="24"/>
      <c r="CE11" s="24"/>
      <c r="CF11" s="24"/>
      <c r="CG11" s="24"/>
    </row>
    <row r="12" customFormat="false" ht="57" hidden="false" customHeight="true" outlineLevel="0" collapsed="false">
      <c r="A12" s="17" t="s">
        <v>46</v>
      </c>
      <c r="B12" s="17"/>
      <c r="C12" s="17"/>
      <c r="D12" s="17"/>
      <c r="E12" s="17"/>
      <c r="F12" s="17"/>
      <c r="G12" s="18" t="s">
        <v>15</v>
      </c>
      <c r="H12" s="18"/>
      <c r="I12" s="18"/>
      <c r="J12" s="18"/>
      <c r="K12" s="26" t="s">
        <v>47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0" t="s">
        <v>17</v>
      </c>
      <c r="AP12" s="20" t="s">
        <v>18</v>
      </c>
      <c r="AQ12" s="21" t="s">
        <v>19</v>
      </c>
      <c r="AR12" s="21"/>
      <c r="AS12" s="21"/>
      <c r="AT12" s="21"/>
      <c r="AU12" s="21" t="s">
        <v>48</v>
      </c>
      <c r="AV12" s="21"/>
      <c r="AW12" s="21"/>
      <c r="AX12" s="21"/>
      <c r="AY12" s="21"/>
      <c r="AZ12" s="21"/>
      <c r="BA12" s="21"/>
      <c r="BB12" s="21"/>
      <c r="BC12" s="21"/>
      <c r="BD12" s="22" t="s">
        <v>49</v>
      </c>
      <c r="BE12" s="22"/>
      <c r="BF12" s="22"/>
      <c r="BG12" s="23" t="str">
        <f aca="false">IFERROR(VLOOKUP('Cash ABC+ACZ'!BD12,Lookups111!A$4:B$38,2,FALSE()),"")</f>
        <v>Kobud rəftar</v>
      </c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7" t="n">
        <v>3</v>
      </c>
      <c r="BV12" s="27"/>
      <c r="BW12" s="27"/>
      <c r="BX12" s="27"/>
      <c r="BY12" s="27"/>
      <c r="BZ12" s="24" t="n">
        <v>8</v>
      </c>
      <c r="CA12" s="24"/>
      <c r="CB12" s="24"/>
      <c r="CC12" s="24"/>
      <c r="CD12" s="24"/>
      <c r="CE12" s="24"/>
      <c r="CF12" s="24"/>
      <c r="CG12" s="24"/>
    </row>
    <row r="13" customFormat="false" ht="57" hidden="false" customHeight="true" outlineLevel="0" collapsed="false">
      <c r="A13" s="17" t="s">
        <v>50</v>
      </c>
      <c r="B13" s="17"/>
      <c r="C13" s="17"/>
      <c r="D13" s="17"/>
      <c r="E13" s="17"/>
      <c r="F13" s="17"/>
      <c r="G13" s="18" t="s">
        <v>15</v>
      </c>
      <c r="H13" s="18"/>
      <c r="I13" s="18"/>
      <c r="J13" s="18"/>
      <c r="K13" s="19" t="s">
        <v>51</v>
      </c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0" t="s">
        <v>17</v>
      </c>
      <c r="AP13" s="20" t="s">
        <v>18</v>
      </c>
      <c r="AQ13" s="21" t="s">
        <v>19</v>
      </c>
      <c r="AR13" s="21"/>
      <c r="AS13" s="21"/>
      <c r="AT13" s="21"/>
      <c r="AU13" s="21" t="s">
        <v>52</v>
      </c>
      <c r="AV13" s="21"/>
      <c r="AW13" s="21"/>
      <c r="AX13" s="21"/>
      <c r="AY13" s="21"/>
      <c r="AZ13" s="21"/>
      <c r="BA13" s="21"/>
      <c r="BB13" s="21"/>
      <c r="BC13" s="21"/>
      <c r="BD13" s="22" t="s">
        <v>53</v>
      </c>
      <c r="BE13" s="22"/>
      <c r="BF13" s="22"/>
      <c r="BG13" s="23" t="str">
        <f aca="false">IFERROR(VLOOKUP('Cash ABC+ACZ'!BD13,Lookups111!A$4:B$38,2,FALSE()),"")</f>
        <v>Aktiv nağd kredit &lt; 50%</v>
      </c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6"/>
      <c r="BV13" s="26"/>
      <c r="BW13" s="26"/>
      <c r="BX13" s="26"/>
      <c r="BY13" s="26"/>
      <c r="BZ13" s="24" t="n">
        <v>9</v>
      </c>
      <c r="CA13" s="24"/>
      <c r="CB13" s="24"/>
      <c r="CC13" s="24"/>
      <c r="CD13" s="24"/>
      <c r="CE13" s="24"/>
      <c r="CF13" s="24"/>
      <c r="CG13" s="24"/>
    </row>
    <row r="14" customFormat="false" ht="57" hidden="false" customHeight="true" outlineLevel="0" collapsed="false">
      <c r="A14" s="17" t="s">
        <v>54</v>
      </c>
      <c r="B14" s="17"/>
      <c r="C14" s="17"/>
      <c r="D14" s="17"/>
      <c r="E14" s="17"/>
      <c r="F14" s="17"/>
      <c r="G14" s="18" t="s">
        <v>15</v>
      </c>
      <c r="H14" s="18"/>
      <c r="I14" s="18"/>
      <c r="J14" s="18"/>
      <c r="K14" s="19" t="s">
        <v>55</v>
      </c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0" t="s">
        <v>17</v>
      </c>
      <c r="AP14" s="20" t="s">
        <v>18</v>
      </c>
      <c r="AQ14" s="21" t="s">
        <v>19</v>
      </c>
      <c r="AR14" s="21"/>
      <c r="AS14" s="21"/>
      <c r="AT14" s="21"/>
      <c r="AU14" s="21" t="s">
        <v>56</v>
      </c>
      <c r="AV14" s="21"/>
      <c r="AW14" s="21"/>
      <c r="AX14" s="21"/>
      <c r="AY14" s="21"/>
      <c r="AZ14" s="21"/>
      <c r="BA14" s="21"/>
      <c r="BB14" s="21"/>
      <c r="BC14" s="21"/>
      <c r="BD14" s="22" t="s">
        <v>57</v>
      </c>
      <c r="BE14" s="22"/>
      <c r="BF14" s="22"/>
      <c r="BG14" s="23" t="str">
        <f aca="false">IFERROR(VLOOKUP('Cash ABC+ACZ'!BD14,Lookups111!A$4:B$38,2,FALSE()),"")</f>
        <v>Aktiv OnePoint krediti</v>
      </c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6"/>
      <c r="BV14" s="26"/>
      <c r="BW14" s="26"/>
      <c r="BX14" s="26"/>
      <c r="BY14" s="26"/>
      <c r="BZ14" s="24" t="n">
        <v>10</v>
      </c>
      <c r="CA14" s="24"/>
      <c r="CB14" s="24"/>
      <c r="CC14" s="24"/>
      <c r="CD14" s="24"/>
      <c r="CE14" s="24"/>
      <c r="CF14" s="24"/>
      <c r="CG14" s="24"/>
    </row>
    <row r="15" customFormat="false" ht="57" hidden="false" customHeight="true" outlineLevel="0" collapsed="false">
      <c r="A15" s="17" t="s">
        <v>58</v>
      </c>
      <c r="B15" s="17"/>
      <c r="C15" s="17"/>
      <c r="D15" s="17"/>
      <c r="E15" s="17"/>
      <c r="F15" s="17"/>
      <c r="G15" s="18" t="s">
        <v>15</v>
      </c>
      <c r="H15" s="18"/>
      <c r="I15" s="18"/>
      <c r="J15" s="18"/>
      <c r="K15" s="26" t="s">
        <v>59</v>
      </c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0" t="s">
        <v>185</v>
      </c>
      <c r="AP15" s="20" t="s">
        <v>18</v>
      </c>
      <c r="AQ15" s="21" t="s">
        <v>94</v>
      </c>
      <c r="AR15" s="21"/>
      <c r="AS15" s="21"/>
      <c r="AT15" s="21"/>
      <c r="AU15" s="21" t="s">
        <v>186</v>
      </c>
      <c r="AV15" s="21"/>
      <c r="AW15" s="21"/>
      <c r="AX15" s="21"/>
      <c r="AY15" s="21"/>
      <c r="AZ15" s="21"/>
      <c r="BA15" s="21"/>
      <c r="BB15" s="21"/>
      <c r="BC15" s="21"/>
      <c r="BD15" s="22" t="s">
        <v>61</v>
      </c>
      <c r="BE15" s="22"/>
      <c r="BF15" s="22"/>
      <c r="BG15" s="23" t="str">
        <f aca="false">IFERROR(VLOOKUP('Cash ABC+ACZ'!BD15,Lookups111!A$4:B$38,2,FALSE()),"")</f>
        <v>Cari gecikma</v>
      </c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6"/>
      <c r="BV15" s="26"/>
      <c r="BW15" s="26"/>
      <c r="BX15" s="26"/>
      <c r="BY15" s="26"/>
      <c r="BZ15" s="24" t="n">
        <v>11</v>
      </c>
      <c r="CA15" s="24"/>
      <c r="CB15" s="24"/>
      <c r="CC15" s="24"/>
      <c r="CD15" s="24"/>
      <c r="CE15" s="24"/>
      <c r="CF15" s="24"/>
      <c r="CG15" s="24"/>
    </row>
    <row r="16" customFormat="false" ht="51" hidden="false" customHeight="true" outlineLevel="0" collapsed="false">
      <c r="A16" s="17" t="s">
        <v>187</v>
      </c>
      <c r="B16" s="17"/>
      <c r="C16" s="17"/>
      <c r="D16" s="17"/>
      <c r="E16" s="17"/>
      <c r="F16" s="17"/>
      <c r="G16" s="18" t="s">
        <v>15</v>
      </c>
      <c r="H16" s="18"/>
      <c r="I16" s="18"/>
      <c r="J16" s="18"/>
      <c r="K16" s="19" t="s">
        <v>72</v>
      </c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0" t="s">
        <v>17</v>
      </c>
      <c r="AP16" s="20" t="s">
        <v>18</v>
      </c>
      <c r="AQ16" s="21" t="s">
        <v>19</v>
      </c>
      <c r="AR16" s="21"/>
      <c r="AS16" s="21"/>
      <c r="AT16" s="21"/>
      <c r="AU16" s="21" t="s">
        <v>72</v>
      </c>
      <c r="AV16" s="21"/>
      <c r="AW16" s="21"/>
      <c r="AX16" s="21"/>
      <c r="AY16" s="21"/>
      <c r="AZ16" s="21"/>
      <c r="BA16" s="21"/>
      <c r="BB16" s="21"/>
      <c r="BC16" s="21"/>
      <c r="BD16" s="22" t="s">
        <v>57</v>
      </c>
      <c r="BE16" s="22"/>
      <c r="BF16" s="22"/>
      <c r="BG16" s="23" t="s">
        <v>72</v>
      </c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6" t="s">
        <v>188</v>
      </c>
      <c r="BV16" s="26"/>
      <c r="BW16" s="26"/>
      <c r="BX16" s="26"/>
      <c r="BY16" s="26"/>
      <c r="BZ16" s="24" t="n">
        <v>12</v>
      </c>
      <c r="CA16" s="24"/>
      <c r="CB16" s="24"/>
      <c r="CC16" s="24"/>
      <c r="CD16" s="24"/>
      <c r="CE16" s="24"/>
      <c r="CF16" s="24"/>
      <c r="CG16" s="24"/>
    </row>
    <row r="17" customFormat="false" ht="51" hidden="false" customHeight="true" outlineLevel="0" collapsed="false">
      <c r="A17" s="17" t="s">
        <v>189</v>
      </c>
      <c r="B17" s="17"/>
      <c r="C17" s="17"/>
      <c r="D17" s="17"/>
      <c r="E17" s="17"/>
      <c r="F17" s="17"/>
      <c r="G17" s="18" t="s">
        <v>15</v>
      </c>
      <c r="H17" s="18"/>
      <c r="I17" s="18"/>
      <c r="J17" s="18"/>
      <c r="K17" s="19" t="s">
        <v>190</v>
      </c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0" t="s">
        <v>17</v>
      </c>
      <c r="AP17" s="20" t="s">
        <v>18</v>
      </c>
      <c r="AQ17" s="21" t="s">
        <v>19</v>
      </c>
      <c r="AR17" s="21"/>
      <c r="AS17" s="21"/>
      <c r="AT17" s="21"/>
      <c r="AU17" s="21" t="s">
        <v>73</v>
      </c>
      <c r="AV17" s="21"/>
      <c r="AW17" s="21"/>
      <c r="AX17" s="21"/>
      <c r="AY17" s="21"/>
      <c r="AZ17" s="21"/>
      <c r="BA17" s="21"/>
      <c r="BB17" s="21"/>
      <c r="BC17" s="21"/>
      <c r="BD17" s="22" t="s">
        <v>57</v>
      </c>
      <c r="BE17" s="22"/>
      <c r="BF17" s="22"/>
      <c r="BG17" s="23" t="s">
        <v>190</v>
      </c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6" t="s">
        <v>188</v>
      </c>
      <c r="BV17" s="26"/>
      <c r="BW17" s="26"/>
      <c r="BX17" s="26"/>
      <c r="BY17" s="26"/>
      <c r="BZ17" s="24" t="n">
        <v>13</v>
      </c>
      <c r="CA17" s="24"/>
      <c r="CB17" s="24"/>
      <c r="CC17" s="24"/>
      <c r="CD17" s="24"/>
      <c r="CE17" s="24"/>
      <c r="CF17" s="24"/>
      <c r="CG17" s="24"/>
    </row>
    <row r="18" customFormat="false" ht="51" hidden="false" customHeight="true" outlineLevel="0" collapsed="false">
      <c r="A18" s="17" t="s">
        <v>191</v>
      </c>
      <c r="B18" s="17"/>
      <c r="C18" s="17"/>
      <c r="D18" s="17"/>
      <c r="E18" s="17"/>
      <c r="F18" s="17"/>
      <c r="G18" s="18" t="s">
        <v>15</v>
      </c>
      <c r="H18" s="18"/>
      <c r="I18" s="18"/>
      <c r="J18" s="18"/>
      <c r="K18" s="19" t="s">
        <v>71</v>
      </c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0" t="s">
        <v>17</v>
      </c>
      <c r="AP18" s="20" t="s">
        <v>18</v>
      </c>
      <c r="AQ18" s="21" t="s">
        <v>19</v>
      </c>
      <c r="AR18" s="21"/>
      <c r="AS18" s="21"/>
      <c r="AT18" s="21"/>
      <c r="AU18" s="21" t="s">
        <v>71</v>
      </c>
      <c r="AV18" s="21"/>
      <c r="AW18" s="21"/>
      <c r="AX18" s="21"/>
      <c r="AY18" s="21"/>
      <c r="AZ18" s="21"/>
      <c r="BA18" s="21"/>
      <c r="BB18" s="21"/>
      <c r="BC18" s="21"/>
      <c r="BD18" s="22" t="s">
        <v>57</v>
      </c>
      <c r="BE18" s="22"/>
      <c r="BF18" s="22"/>
      <c r="BG18" s="23" t="s">
        <v>71</v>
      </c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6" t="s">
        <v>188</v>
      </c>
      <c r="BV18" s="26"/>
      <c r="BW18" s="26"/>
      <c r="BX18" s="26"/>
      <c r="BY18" s="26"/>
      <c r="BZ18" s="24" t="n">
        <v>13</v>
      </c>
      <c r="CA18" s="24"/>
      <c r="CB18" s="24"/>
      <c r="CC18" s="24"/>
      <c r="CD18" s="24"/>
      <c r="CE18" s="24"/>
      <c r="CF18" s="24"/>
      <c r="CG18" s="24"/>
    </row>
    <row r="19" customFormat="false" ht="29.25" hidden="false" customHeight="true" outlineLevel="0" collapsed="false">
      <c r="A19" s="62" t="s">
        <v>62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3"/>
      <c r="CI19" s="63"/>
      <c r="CJ19" s="63"/>
      <c r="CK19" s="63"/>
      <c r="CL19" s="63"/>
      <c r="CM19" s="63"/>
      <c r="CN19" s="63"/>
      <c r="CO19" s="63"/>
      <c r="CP19" s="63"/>
      <c r="CQ19" s="63"/>
      <c r="CR19" s="63"/>
    </row>
    <row r="20" customFormat="false" ht="15" hidden="false" customHeight="true" outlineLevel="0" collapsed="false">
      <c r="A20" s="18" t="s">
        <v>63</v>
      </c>
      <c r="B20" s="18"/>
      <c r="C20" s="18"/>
      <c r="D20" s="18"/>
      <c r="E20" s="18"/>
      <c r="F20" s="18"/>
      <c r="G20" s="18" t="s">
        <v>15</v>
      </c>
      <c r="H20" s="18"/>
      <c r="I20" s="18"/>
      <c r="J20" s="18"/>
      <c r="K20" s="23" t="s">
        <v>64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 t="s">
        <v>65</v>
      </c>
      <c r="AA20" s="23"/>
      <c r="AB20" s="23"/>
      <c r="AC20" s="23"/>
      <c r="AD20" s="23"/>
      <c r="AE20" s="23"/>
      <c r="AF20" s="23"/>
      <c r="AG20" s="23"/>
      <c r="AH20" s="23"/>
      <c r="AI20" s="30" t="n">
        <v>20</v>
      </c>
      <c r="AJ20" s="30"/>
      <c r="AK20" s="30"/>
      <c r="AL20" s="30"/>
      <c r="AM20" s="30"/>
      <c r="AN20" s="30"/>
      <c r="AO20" s="20" t="s">
        <v>185</v>
      </c>
      <c r="AP20" s="20" t="s">
        <v>18</v>
      </c>
      <c r="AQ20" s="21" t="s">
        <v>94</v>
      </c>
      <c r="AR20" s="21"/>
      <c r="AS20" s="21"/>
      <c r="AT20" s="21"/>
      <c r="AU20" s="21" t="s">
        <v>64</v>
      </c>
      <c r="AV20" s="21"/>
      <c r="AW20" s="21"/>
      <c r="AX20" s="21"/>
      <c r="AY20" s="21"/>
      <c r="AZ20" s="21"/>
      <c r="BA20" s="21"/>
      <c r="BB20" s="21"/>
      <c r="BC20" s="21"/>
      <c r="BD20" s="22" t="s">
        <v>67</v>
      </c>
      <c r="BE20" s="22"/>
      <c r="BF20" s="22"/>
      <c r="BG20" s="23" t="str">
        <f aca="false">IFERROR(VLOOKUP(BD20,Lookups111!A$4:B$38,2,FALSE()),"")</f>
        <v>Yaş həddi</v>
      </c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31"/>
      <c r="BV20" s="31"/>
      <c r="BW20" s="31"/>
      <c r="BX20" s="31"/>
      <c r="BY20" s="31"/>
      <c r="BZ20" s="32" t="n">
        <v>1</v>
      </c>
      <c r="CA20" s="32"/>
      <c r="CB20" s="32"/>
      <c r="CC20" s="32"/>
      <c r="CD20" s="32"/>
      <c r="CE20" s="32"/>
      <c r="CF20" s="32"/>
      <c r="CG20" s="32"/>
    </row>
    <row r="21" customFormat="false" ht="36" hidden="false" customHeight="true" outlineLevel="0" collapsed="false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 t="s">
        <v>68</v>
      </c>
      <c r="AA21" s="23"/>
      <c r="AB21" s="23"/>
      <c r="AC21" s="23"/>
      <c r="AD21" s="23"/>
      <c r="AE21" s="23"/>
      <c r="AF21" s="23"/>
      <c r="AG21" s="23"/>
      <c r="AH21" s="23"/>
      <c r="AI21" s="30" t="n">
        <v>65</v>
      </c>
      <c r="AJ21" s="30"/>
      <c r="AK21" s="30"/>
      <c r="AL21" s="30"/>
      <c r="AM21" s="30"/>
      <c r="AN21" s="30"/>
      <c r="AO21" s="20"/>
      <c r="AP21" s="20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2"/>
      <c r="BE21" s="22"/>
      <c r="BF21" s="22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31"/>
      <c r="BV21" s="31"/>
      <c r="BW21" s="31"/>
      <c r="BX21" s="31"/>
      <c r="BY21" s="31"/>
      <c r="BZ21" s="32"/>
      <c r="CA21" s="32"/>
      <c r="CB21" s="32"/>
      <c r="CC21" s="32"/>
      <c r="CD21" s="32"/>
      <c r="CE21" s="32"/>
      <c r="CF21" s="32"/>
      <c r="CG21" s="32"/>
    </row>
    <row r="22" s="68" customFormat="true" ht="34.5" hidden="false" customHeight="true" outlineLevel="0" collapsed="false">
      <c r="A22" s="64" t="s">
        <v>69</v>
      </c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5" t="s">
        <v>11</v>
      </c>
      <c r="AP22" s="66" t="s">
        <v>12</v>
      </c>
      <c r="AQ22" s="66" t="s">
        <v>13</v>
      </c>
      <c r="AR22" s="66"/>
      <c r="AS22" s="66"/>
      <c r="AT22" s="66"/>
      <c r="AU22" s="66" t="s">
        <v>98</v>
      </c>
      <c r="AV22" s="66"/>
      <c r="AW22" s="66"/>
      <c r="AX22" s="66"/>
      <c r="AY22" s="66"/>
      <c r="AZ22" s="66"/>
      <c r="BA22" s="66"/>
      <c r="BB22" s="66"/>
      <c r="BC22" s="66"/>
      <c r="BD22" s="64"/>
      <c r="BE22" s="64"/>
      <c r="BF22" s="64"/>
      <c r="BG22" s="64"/>
      <c r="BH22" s="64"/>
      <c r="BI22" s="64"/>
      <c r="BJ22" s="64"/>
      <c r="BK22" s="64"/>
      <c r="BL22" s="64"/>
      <c r="BM22" s="64"/>
      <c r="BN22" s="64"/>
      <c r="BO22" s="64"/>
      <c r="BP22" s="64"/>
      <c r="BQ22" s="64"/>
      <c r="BR22" s="64"/>
      <c r="BS22" s="64"/>
      <c r="BT22" s="64"/>
      <c r="BU22" s="64"/>
      <c r="BV22" s="64"/>
      <c r="BW22" s="64"/>
      <c r="BX22" s="64"/>
      <c r="BY22" s="64"/>
      <c r="BZ22" s="64"/>
      <c r="CA22" s="64"/>
      <c r="CB22" s="64"/>
      <c r="CC22" s="64"/>
      <c r="CD22" s="64"/>
      <c r="CE22" s="64"/>
      <c r="CF22" s="64"/>
      <c r="CG22" s="64"/>
      <c r="CH22" s="67"/>
      <c r="CI22" s="67"/>
      <c r="CJ22" s="67"/>
      <c r="CK22" s="67"/>
      <c r="CL22" s="67"/>
      <c r="CM22" s="67"/>
      <c r="CN22" s="67"/>
      <c r="CO22" s="67"/>
      <c r="CP22" s="67"/>
      <c r="CQ22" s="67"/>
      <c r="CR22" s="67"/>
    </row>
    <row r="23" customFormat="false" ht="33.75" hidden="false" customHeight="true" outlineLevel="0" collapsed="false">
      <c r="A23" s="69" t="s">
        <v>192</v>
      </c>
      <c r="B23" s="69"/>
      <c r="C23" s="69"/>
      <c r="D23" s="69"/>
      <c r="E23" s="69"/>
      <c r="F23" s="69"/>
      <c r="G23" s="70" t="s">
        <v>15</v>
      </c>
      <c r="H23" s="70"/>
      <c r="I23" s="70"/>
      <c r="J23" s="70"/>
      <c r="K23" s="71" t="s">
        <v>71</v>
      </c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20" t="s">
        <v>185</v>
      </c>
      <c r="AP23" s="20" t="s">
        <v>18</v>
      </c>
      <c r="AQ23" s="37" t="s">
        <v>94</v>
      </c>
      <c r="AR23" s="38"/>
      <c r="AS23" s="38"/>
      <c r="AT23" s="38"/>
      <c r="AU23" s="21" t="s">
        <v>71</v>
      </c>
      <c r="AV23" s="21"/>
      <c r="AW23" s="21"/>
      <c r="AX23" s="21"/>
      <c r="AY23" s="21"/>
      <c r="AZ23" s="21"/>
      <c r="BA23" s="21"/>
      <c r="BB23" s="21"/>
      <c r="BC23" s="21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  <c r="BS23" s="36"/>
      <c r="BT23" s="36"/>
      <c r="BU23" s="36"/>
      <c r="BV23" s="36"/>
      <c r="BW23" s="36"/>
      <c r="BX23" s="36"/>
      <c r="BY23" s="36"/>
      <c r="BZ23" s="36"/>
      <c r="CA23" s="36"/>
      <c r="CB23" s="36"/>
      <c r="CC23" s="36"/>
      <c r="CD23" s="36"/>
      <c r="CE23" s="36"/>
      <c r="CF23" s="36"/>
      <c r="CG23" s="36"/>
    </row>
    <row r="24" customFormat="false" ht="33.75" hidden="false" customHeight="true" outlineLevel="0" collapsed="false">
      <c r="A24" s="69" t="s">
        <v>193</v>
      </c>
      <c r="B24" s="69"/>
      <c r="C24" s="69"/>
      <c r="D24" s="69"/>
      <c r="E24" s="69"/>
      <c r="F24" s="69"/>
      <c r="G24" s="70" t="s">
        <v>15</v>
      </c>
      <c r="H24" s="70"/>
      <c r="I24" s="70"/>
      <c r="J24" s="70"/>
      <c r="K24" s="71" t="s">
        <v>71</v>
      </c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20" t="s">
        <v>185</v>
      </c>
      <c r="AP24" s="20" t="s">
        <v>18</v>
      </c>
      <c r="AQ24" s="37" t="s">
        <v>94</v>
      </c>
      <c r="AR24" s="38"/>
      <c r="AS24" s="38"/>
      <c r="AT24" s="38"/>
      <c r="AU24" s="21" t="s">
        <v>72</v>
      </c>
      <c r="AV24" s="21"/>
      <c r="AW24" s="21"/>
      <c r="AX24" s="21"/>
      <c r="AY24" s="21"/>
      <c r="AZ24" s="21"/>
      <c r="BA24" s="21"/>
      <c r="BB24" s="21"/>
      <c r="BC24" s="21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  <c r="BP24" s="36"/>
      <c r="BQ24" s="36"/>
      <c r="BR24" s="36"/>
      <c r="BS24" s="36"/>
      <c r="BT24" s="36"/>
      <c r="BU24" s="36"/>
      <c r="BV24" s="36"/>
      <c r="BW24" s="36"/>
      <c r="BX24" s="36"/>
      <c r="BY24" s="36"/>
      <c r="BZ24" s="36"/>
      <c r="CA24" s="36"/>
      <c r="CB24" s="36"/>
      <c r="CC24" s="36"/>
      <c r="CD24" s="36"/>
      <c r="CE24" s="36"/>
      <c r="CF24" s="36"/>
      <c r="CG24" s="36"/>
    </row>
    <row r="25" customFormat="false" ht="33.75" hidden="false" customHeight="true" outlineLevel="0" collapsed="false">
      <c r="A25" s="69" t="s">
        <v>194</v>
      </c>
      <c r="B25" s="69"/>
      <c r="C25" s="69"/>
      <c r="D25" s="69"/>
      <c r="E25" s="69"/>
      <c r="F25" s="69"/>
      <c r="G25" s="70" t="s">
        <v>15</v>
      </c>
      <c r="H25" s="70"/>
      <c r="I25" s="70"/>
      <c r="J25" s="70"/>
      <c r="K25" s="71" t="s">
        <v>71</v>
      </c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20" t="s">
        <v>185</v>
      </c>
      <c r="AP25" s="20" t="s">
        <v>18</v>
      </c>
      <c r="AQ25" s="37" t="s">
        <v>94</v>
      </c>
      <c r="AR25" s="38"/>
      <c r="AS25" s="38"/>
      <c r="AT25" s="38"/>
      <c r="AU25" s="21" t="s">
        <v>73</v>
      </c>
      <c r="AV25" s="21"/>
      <c r="AW25" s="21"/>
      <c r="AX25" s="21"/>
      <c r="AY25" s="21"/>
      <c r="AZ25" s="21"/>
      <c r="BA25" s="21"/>
      <c r="BB25" s="21"/>
      <c r="BC25" s="21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</row>
    <row r="26" customFormat="false" ht="44.25" hidden="false" customHeight="true" outlineLevel="0" collapsed="false">
      <c r="A26" s="20" t="s">
        <v>74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 t="s">
        <v>75</v>
      </c>
      <c r="AP26" s="20" t="s">
        <v>66</v>
      </c>
      <c r="AQ26" s="37" t="s">
        <v>76</v>
      </c>
      <c r="AR26" s="38"/>
      <c r="AS26" s="38"/>
      <c r="AT26" s="38"/>
      <c r="AU26" s="37"/>
      <c r="AV26" s="40"/>
      <c r="AW26" s="40"/>
      <c r="AX26" s="40"/>
      <c r="AY26" s="40"/>
      <c r="AZ26" s="40"/>
      <c r="BA26" s="40"/>
      <c r="BB26" s="40"/>
      <c r="BC26" s="41"/>
      <c r="BD26" s="36"/>
      <c r="BE26" s="36"/>
      <c r="BF26" s="36"/>
      <c r="BG26" s="36"/>
      <c r="BH26" s="36"/>
      <c r="BI26" s="36"/>
      <c r="BJ26" s="36"/>
      <c r="BK26" s="36"/>
      <c r="BL26" s="36"/>
      <c r="BM26" s="36"/>
      <c r="BN26" s="36"/>
      <c r="BO26" s="36"/>
      <c r="BP26" s="36"/>
      <c r="BQ26" s="36"/>
      <c r="BR26" s="36"/>
      <c r="BS26" s="36"/>
      <c r="BT26" s="36"/>
      <c r="BU26" s="36"/>
      <c r="BV26" s="36"/>
      <c r="BW26" s="36"/>
      <c r="BX26" s="36"/>
      <c r="BY26" s="36"/>
      <c r="BZ26" s="36"/>
      <c r="CA26" s="36"/>
      <c r="CB26" s="36"/>
      <c r="CC26" s="36"/>
      <c r="CD26" s="36"/>
      <c r="CE26" s="36"/>
      <c r="CF26" s="36"/>
      <c r="CG26" s="36"/>
    </row>
    <row r="27" customFormat="false" ht="56.25" hidden="false" customHeight="true" outlineLevel="0" collapsed="false">
      <c r="A27" s="20" t="s">
        <v>77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 t="s">
        <v>75</v>
      </c>
      <c r="AP27" s="20" t="s">
        <v>66</v>
      </c>
      <c r="AQ27" s="37" t="s">
        <v>78</v>
      </c>
      <c r="AR27" s="38"/>
      <c r="AS27" s="38"/>
      <c r="AT27" s="38"/>
      <c r="AU27" s="37"/>
      <c r="AV27" s="40"/>
      <c r="AW27" s="40"/>
      <c r="AX27" s="40"/>
      <c r="AY27" s="40"/>
      <c r="AZ27" s="40"/>
      <c r="BA27" s="40"/>
      <c r="BB27" s="40"/>
      <c r="BC27" s="41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  <c r="BY27" s="36"/>
      <c r="BZ27" s="36"/>
      <c r="CA27" s="36"/>
      <c r="CB27" s="36"/>
      <c r="CC27" s="36"/>
      <c r="CD27" s="36"/>
      <c r="CE27" s="36"/>
      <c r="CF27" s="36"/>
      <c r="CG27" s="36"/>
    </row>
    <row r="28" customFormat="false" ht="48.75" hidden="false" customHeight="true" outlineLevel="0" collapsed="false">
      <c r="A28" s="20" t="s">
        <v>79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 t="s">
        <v>75</v>
      </c>
      <c r="AP28" s="20" t="s">
        <v>66</v>
      </c>
      <c r="AQ28" s="37" t="s">
        <v>80</v>
      </c>
      <c r="AR28" s="38"/>
      <c r="AS28" s="38"/>
      <c r="AT28" s="38"/>
      <c r="AU28" s="37"/>
      <c r="AV28" s="40"/>
      <c r="AW28" s="40"/>
      <c r="AX28" s="40"/>
      <c r="AY28" s="40"/>
      <c r="AZ28" s="40"/>
      <c r="BA28" s="40"/>
      <c r="BB28" s="40"/>
      <c r="BC28" s="41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  <c r="BS28" s="36"/>
      <c r="BT28" s="36"/>
      <c r="BU28" s="36"/>
      <c r="BV28" s="36"/>
      <c r="BW28" s="36"/>
      <c r="BX28" s="36"/>
      <c r="BY28" s="36"/>
      <c r="BZ28" s="36"/>
      <c r="CA28" s="36"/>
      <c r="CB28" s="36"/>
      <c r="CC28" s="36"/>
      <c r="CD28" s="36"/>
      <c r="CE28" s="36"/>
      <c r="CF28" s="36"/>
      <c r="CG28" s="36"/>
    </row>
    <row r="29" customFormat="false" ht="48" hidden="false" customHeight="true" outlineLevel="0" collapsed="false">
      <c r="A29" s="20" t="s">
        <v>81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 t="s">
        <v>75</v>
      </c>
      <c r="AP29" s="20" t="s">
        <v>66</v>
      </c>
      <c r="AQ29" s="37" t="s">
        <v>82</v>
      </c>
      <c r="AR29" s="38"/>
      <c r="AS29" s="38"/>
      <c r="AT29" s="38"/>
      <c r="AU29" s="37"/>
      <c r="AV29" s="40"/>
      <c r="AW29" s="40"/>
      <c r="AX29" s="40"/>
      <c r="AY29" s="40"/>
      <c r="AZ29" s="40"/>
      <c r="BA29" s="40"/>
      <c r="BB29" s="40"/>
      <c r="BC29" s="41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  <c r="BW29" s="36"/>
      <c r="BX29" s="36"/>
      <c r="BY29" s="36"/>
      <c r="BZ29" s="36"/>
      <c r="CA29" s="36"/>
      <c r="CB29" s="36"/>
      <c r="CC29" s="36"/>
      <c r="CD29" s="36"/>
      <c r="CE29" s="36"/>
      <c r="CF29" s="36"/>
      <c r="CG29" s="36"/>
    </row>
    <row r="30" customFormat="false" ht="33.75" hidden="false" customHeight="true" outlineLevel="0" collapsed="false">
      <c r="A30" s="20" t="s">
        <v>83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 t="s">
        <v>75</v>
      </c>
      <c r="AP30" s="20" t="s">
        <v>66</v>
      </c>
      <c r="AQ30" s="37" t="s">
        <v>84</v>
      </c>
      <c r="AR30" s="38"/>
      <c r="AS30" s="38"/>
      <c r="AT30" s="38"/>
      <c r="AU30" s="37"/>
      <c r="AV30" s="40"/>
      <c r="AW30" s="40"/>
      <c r="AX30" s="40"/>
      <c r="AY30" s="40"/>
      <c r="AZ30" s="40"/>
      <c r="BA30" s="40"/>
      <c r="BB30" s="40"/>
      <c r="BC30" s="41"/>
      <c r="BD30" s="36"/>
      <c r="BE30" s="36"/>
      <c r="BF30" s="36"/>
      <c r="BG30" s="36"/>
      <c r="BH30" s="36"/>
      <c r="BI30" s="36"/>
      <c r="BJ30" s="36"/>
      <c r="BK30" s="36"/>
      <c r="BL30" s="36"/>
      <c r="BM30" s="36"/>
      <c r="BN30" s="36"/>
      <c r="BO30" s="36"/>
      <c r="BP30" s="36"/>
      <c r="BQ30" s="36"/>
      <c r="BR30" s="36"/>
      <c r="BS30" s="36"/>
      <c r="BT30" s="36"/>
      <c r="BU30" s="36"/>
      <c r="BV30" s="36"/>
      <c r="BW30" s="36"/>
      <c r="BX30" s="36"/>
      <c r="BY30" s="36"/>
      <c r="BZ30" s="36"/>
      <c r="CA30" s="36"/>
      <c r="CB30" s="36"/>
      <c r="CC30" s="36"/>
      <c r="CD30" s="36"/>
      <c r="CE30" s="36"/>
      <c r="CF30" s="36"/>
      <c r="CG30" s="36"/>
    </row>
    <row r="31" customFormat="false" ht="33.75" hidden="false" customHeight="true" outlineLevel="0" collapsed="false">
      <c r="A31" s="20" t="s">
        <v>85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 t="s">
        <v>185</v>
      </c>
      <c r="AP31" s="20" t="s">
        <v>18</v>
      </c>
      <c r="AQ31" s="37" t="s">
        <v>94</v>
      </c>
      <c r="AR31" s="38"/>
      <c r="AS31" s="38"/>
      <c r="AT31" s="38"/>
      <c r="AU31" s="37"/>
      <c r="AV31" s="40"/>
      <c r="AW31" s="40"/>
      <c r="AX31" s="40"/>
      <c r="AY31" s="40"/>
      <c r="AZ31" s="40"/>
      <c r="BA31" s="40"/>
      <c r="BB31" s="40"/>
      <c r="BC31" s="41"/>
      <c r="BD31" s="36"/>
      <c r="BE31" s="36"/>
      <c r="BF31" s="36"/>
      <c r="BG31" s="36"/>
      <c r="BH31" s="36"/>
      <c r="BI31" s="36"/>
      <c r="BJ31" s="36"/>
      <c r="BK31" s="36"/>
      <c r="BL31" s="36"/>
      <c r="BM31" s="36"/>
      <c r="BN31" s="36"/>
      <c r="BO31" s="36"/>
      <c r="BP31" s="36"/>
      <c r="BQ31" s="36"/>
      <c r="BR31" s="36"/>
      <c r="BS31" s="36"/>
      <c r="BT31" s="36"/>
      <c r="BU31" s="36"/>
      <c r="BV31" s="36"/>
      <c r="BW31" s="36"/>
      <c r="BX31" s="36"/>
      <c r="BY31" s="36"/>
      <c r="BZ31" s="36"/>
      <c r="CA31" s="36"/>
      <c r="CB31" s="36"/>
      <c r="CC31" s="36"/>
      <c r="CD31" s="36"/>
      <c r="CE31" s="36"/>
      <c r="CF31" s="36"/>
      <c r="CG31" s="36"/>
    </row>
    <row r="32" customFormat="false" ht="33.75" hidden="false" customHeight="true" outlineLevel="0" collapsed="false">
      <c r="A32" s="20" t="s">
        <v>86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 t="s">
        <v>75</v>
      </c>
      <c r="AP32" s="20" t="s">
        <v>66</v>
      </c>
      <c r="AQ32" s="37" t="s">
        <v>87</v>
      </c>
      <c r="AR32" s="38"/>
      <c r="AS32" s="38"/>
      <c r="AT32" s="38"/>
      <c r="AU32" s="37"/>
      <c r="AV32" s="40"/>
      <c r="AW32" s="40"/>
      <c r="AX32" s="40"/>
      <c r="AY32" s="40"/>
      <c r="AZ32" s="40"/>
      <c r="BA32" s="40"/>
      <c r="BB32" s="40"/>
      <c r="BC32" s="41"/>
      <c r="BD32" s="36"/>
      <c r="BE32" s="36"/>
      <c r="BF32" s="36"/>
      <c r="BG32" s="36"/>
      <c r="BH32" s="36"/>
      <c r="BI32" s="36"/>
      <c r="BJ32" s="36"/>
      <c r="BK32" s="36"/>
      <c r="BL32" s="36"/>
      <c r="BM32" s="36"/>
      <c r="BN32" s="36"/>
      <c r="BO32" s="36"/>
      <c r="BP32" s="36"/>
      <c r="BQ32" s="36"/>
      <c r="BR32" s="36"/>
      <c r="BS32" s="36"/>
      <c r="BT32" s="36"/>
      <c r="BU32" s="36"/>
      <c r="BV32" s="36"/>
      <c r="BW32" s="36"/>
      <c r="BX32" s="36"/>
      <c r="BY32" s="36"/>
      <c r="BZ32" s="36"/>
      <c r="CA32" s="36"/>
      <c r="CB32" s="36"/>
      <c r="CC32" s="36"/>
      <c r="CD32" s="36"/>
      <c r="CE32" s="36"/>
      <c r="CF32" s="36"/>
      <c r="CG32" s="36"/>
    </row>
    <row r="33" customFormat="false" ht="75" hidden="false" customHeight="true" outlineLevel="0" collapsed="false">
      <c r="A33" s="20" t="s">
        <v>88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 t="s">
        <v>89</v>
      </c>
      <c r="AP33" s="20" t="s">
        <v>66</v>
      </c>
      <c r="AQ33" s="37" t="s">
        <v>90</v>
      </c>
      <c r="AR33" s="38"/>
      <c r="AS33" s="38"/>
      <c r="AT33" s="38"/>
      <c r="AU33" s="37"/>
      <c r="AV33" s="40"/>
      <c r="AW33" s="40"/>
      <c r="AX33" s="40"/>
      <c r="AY33" s="40"/>
      <c r="AZ33" s="40"/>
      <c r="BA33" s="40"/>
      <c r="BB33" s="40"/>
      <c r="BC33" s="41"/>
      <c r="BD33" s="36"/>
      <c r="BE33" s="36"/>
      <c r="BF33" s="36"/>
      <c r="BG33" s="36"/>
      <c r="BH33" s="36"/>
      <c r="BI33" s="36"/>
      <c r="BJ33" s="36"/>
      <c r="BK33" s="36"/>
      <c r="BL33" s="36"/>
      <c r="BM33" s="36"/>
      <c r="BN33" s="36"/>
      <c r="BO33" s="36"/>
      <c r="BP33" s="36"/>
      <c r="BQ33" s="36"/>
      <c r="BR33" s="36"/>
      <c r="BS33" s="36"/>
      <c r="BT33" s="36"/>
      <c r="BU33" s="36"/>
      <c r="BV33" s="36"/>
      <c r="BW33" s="36"/>
      <c r="BX33" s="36"/>
      <c r="BY33" s="36"/>
      <c r="BZ33" s="36"/>
      <c r="CA33" s="36"/>
      <c r="CB33" s="36"/>
      <c r="CC33" s="36"/>
      <c r="CD33" s="36"/>
      <c r="CE33" s="36"/>
      <c r="CF33" s="36"/>
      <c r="CG33" s="36"/>
    </row>
    <row r="34" customFormat="false" ht="15" hidden="false" customHeight="true" outlineLevel="0" collapsed="false">
      <c r="A34" s="18" t="s">
        <v>91</v>
      </c>
      <c r="B34" s="18"/>
      <c r="C34" s="18"/>
      <c r="D34" s="18"/>
      <c r="E34" s="18"/>
      <c r="F34" s="18"/>
      <c r="G34" s="18" t="s">
        <v>15</v>
      </c>
      <c r="H34" s="18"/>
      <c r="I34" s="18"/>
      <c r="J34" s="18"/>
      <c r="K34" s="42" t="s">
        <v>92</v>
      </c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23" t="s">
        <v>93</v>
      </c>
      <c r="AA34" s="23"/>
      <c r="AB34" s="23"/>
      <c r="AC34" s="23"/>
      <c r="AD34" s="23"/>
      <c r="AE34" s="23"/>
      <c r="AF34" s="23"/>
      <c r="AG34" s="23"/>
      <c r="AH34" s="23"/>
      <c r="AI34" s="43" t="n">
        <v>200</v>
      </c>
      <c r="AJ34" s="43"/>
      <c r="AK34" s="43"/>
      <c r="AL34" s="43"/>
      <c r="AM34" s="43"/>
      <c r="AN34" s="43"/>
      <c r="AO34" s="20" t="s">
        <v>185</v>
      </c>
      <c r="AP34" s="20" t="s">
        <v>18</v>
      </c>
      <c r="AQ34" s="20" t="s">
        <v>94</v>
      </c>
      <c r="AR34" s="20"/>
      <c r="AS34" s="20"/>
      <c r="AT34" s="20"/>
      <c r="AU34" s="20" t="s">
        <v>95</v>
      </c>
      <c r="AV34" s="20"/>
      <c r="AW34" s="20"/>
      <c r="AX34" s="20"/>
      <c r="AY34" s="20"/>
      <c r="AZ34" s="20"/>
      <c r="BA34" s="20"/>
      <c r="BB34" s="20"/>
      <c r="BC34" s="20"/>
      <c r="BD34" s="31" t="s">
        <v>96</v>
      </c>
      <c r="BE34" s="31"/>
      <c r="BF34" s="31"/>
      <c r="BG34" s="42" t="str">
        <f aca="false">IFERROR(VLOOKUP(BD34,Lookups111!A$4:B$38,2,FALSE()),"")</f>
        <v>Embafinans skoring balı 200-dən aşağıdır</v>
      </c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22"/>
      <c r="BV34" s="22"/>
      <c r="BW34" s="22"/>
      <c r="BX34" s="22"/>
      <c r="BY34" s="22"/>
      <c r="BZ34" s="32" t="n">
        <v>2</v>
      </c>
      <c r="CA34" s="32"/>
      <c r="CB34" s="32"/>
      <c r="CC34" s="32"/>
      <c r="CD34" s="32"/>
      <c r="CE34" s="32"/>
      <c r="CF34" s="32"/>
      <c r="CG34" s="32"/>
    </row>
    <row r="35" customFormat="false" ht="15" hidden="false" customHeight="true" outlineLevel="0" collapsed="false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23"/>
      <c r="AA35" s="23"/>
      <c r="AB35" s="23"/>
      <c r="AC35" s="23"/>
      <c r="AD35" s="23"/>
      <c r="AE35" s="23"/>
      <c r="AF35" s="23"/>
      <c r="AG35" s="23"/>
      <c r="AH35" s="23"/>
      <c r="AI35" s="43"/>
      <c r="AJ35" s="43"/>
      <c r="AK35" s="43"/>
      <c r="AL35" s="43"/>
      <c r="AM35" s="43"/>
      <c r="AN35" s="43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31"/>
      <c r="BE35" s="31"/>
      <c r="BF35" s="31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22"/>
      <c r="BV35" s="22"/>
      <c r="BW35" s="22"/>
      <c r="BX35" s="22"/>
      <c r="BY35" s="22"/>
      <c r="BZ35" s="32"/>
      <c r="CA35" s="32"/>
      <c r="CB35" s="32"/>
      <c r="CC35" s="32"/>
      <c r="CD35" s="32"/>
      <c r="CE35" s="32"/>
      <c r="CF35" s="32"/>
      <c r="CG35" s="32"/>
    </row>
    <row r="36" s="29" customFormat="true" ht="20.25" hidden="false" customHeight="true" outlineLevel="0" collapsed="false">
      <c r="A36" s="72" t="s">
        <v>97</v>
      </c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44" t="s">
        <v>11</v>
      </c>
      <c r="AP36" s="45" t="s">
        <v>12</v>
      </c>
      <c r="AQ36" s="46" t="s">
        <v>13</v>
      </c>
      <c r="AR36" s="47"/>
      <c r="AS36" s="47"/>
      <c r="AT36" s="47"/>
      <c r="AU36" s="48" t="s">
        <v>98</v>
      </c>
      <c r="AV36" s="48"/>
      <c r="AW36" s="48"/>
      <c r="AX36" s="48"/>
      <c r="AY36" s="48"/>
      <c r="AZ36" s="48"/>
      <c r="BA36" s="48"/>
      <c r="BB36" s="48"/>
      <c r="BC36" s="4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  <c r="BZ36" s="28"/>
      <c r="CA36" s="28"/>
      <c r="CB36" s="28"/>
      <c r="CC36" s="28"/>
      <c r="CD36" s="28"/>
      <c r="CE36" s="28"/>
      <c r="CF36" s="28"/>
      <c r="CG36" s="28"/>
    </row>
    <row r="37" customFormat="false" ht="21.75" hidden="false" customHeight="true" outlineLevel="0" collapsed="false">
      <c r="A37" s="18" t="s">
        <v>99</v>
      </c>
      <c r="B37" s="18"/>
      <c r="C37" s="18"/>
      <c r="D37" s="18"/>
      <c r="E37" s="18"/>
      <c r="F37" s="18"/>
      <c r="G37" s="18" t="s">
        <v>15</v>
      </c>
      <c r="H37" s="18"/>
      <c r="I37" s="18"/>
      <c r="J37" s="18"/>
      <c r="K37" s="42" t="s">
        <v>100</v>
      </c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23" t="s">
        <v>101</v>
      </c>
      <c r="AA37" s="23"/>
      <c r="AB37" s="23"/>
      <c r="AC37" s="23"/>
      <c r="AD37" s="23"/>
      <c r="AE37" s="23"/>
      <c r="AF37" s="23"/>
      <c r="AG37" s="23"/>
      <c r="AH37" s="23"/>
      <c r="AI37" s="30" t="n">
        <v>24</v>
      </c>
      <c r="AJ37" s="30"/>
      <c r="AK37" s="30"/>
      <c r="AL37" s="30"/>
      <c r="AM37" s="30"/>
      <c r="AN37" s="30"/>
      <c r="AO37" s="21" t="s">
        <v>66</v>
      </c>
      <c r="AP37" s="21" t="s">
        <v>18</v>
      </c>
      <c r="AQ37" s="21" t="s">
        <v>87</v>
      </c>
      <c r="AR37" s="21"/>
      <c r="AS37" s="21"/>
      <c r="AT37" s="21"/>
      <c r="AU37" s="21" t="s">
        <v>102</v>
      </c>
      <c r="AV37" s="21"/>
      <c r="AW37" s="21"/>
      <c r="AX37" s="21"/>
      <c r="AY37" s="21"/>
      <c r="AZ37" s="21"/>
      <c r="BA37" s="21"/>
      <c r="BB37" s="21"/>
      <c r="BC37" s="21"/>
      <c r="BD37" s="22" t="s">
        <v>103</v>
      </c>
      <c r="BE37" s="22"/>
      <c r="BF37" s="22"/>
      <c r="BG37" s="23" t="str">
        <f aca="false">IFERROR(VLOOKUP(BD37,Lookups111!A$4:B$38,2,FALSE()),"")</f>
        <v>Maks gecikma 35+ gün (Son 24 ay)</v>
      </c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2"/>
      <c r="BV37" s="22"/>
      <c r="BW37" s="22"/>
      <c r="BX37" s="22"/>
      <c r="BY37" s="22"/>
      <c r="BZ37" s="32" t="n">
        <v>1</v>
      </c>
      <c r="CA37" s="32"/>
      <c r="CB37" s="32"/>
      <c r="CC37" s="32"/>
      <c r="CD37" s="32"/>
      <c r="CE37" s="32"/>
      <c r="CF37" s="32"/>
      <c r="CG37" s="32"/>
    </row>
    <row r="38" customFormat="false" ht="21.75" hidden="false" customHeight="true" outlineLevel="0" collapsed="false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23" t="s">
        <v>104</v>
      </c>
      <c r="AA38" s="23"/>
      <c r="AB38" s="23"/>
      <c r="AC38" s="23"/>
      <c r="AD38" s="23"/>
      <c r="AE38" s="23"/>
      <c r="AF38" s="23"/>
      <c r="AG38" s="23"/>
      <c r="AH38" s="23"/>
      <c r="AI38" s="30" t="n">
        <v>35</v>
      </c>
      <c r="AJ38" s="30"/>
      <c r="AK38" s="30"/>
      <c r="AL38" s="30"/>
      <c r="AM38" s="30"/>
      <c r="AN38" s="30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2"/>
      <c r="BE38" s="22"/>
      <c r="BF38" s="22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2"/>
      <c r="BV38" s="22"/>
      <c r="BW38" s="22"/>
      <c r="BX38" s="22"/>
      <c r="BY38" s="22"/>
      <c r="BZ38" s="32"/>
      <c r="CA38" s="32"/>
      <c r="CB38" s="32"/>
      <c r="CC38" s="32"/>
      <c r="CD38" s="32"/>
      <c r="CE38" s="32"/>
      <c r="CF38" s="32"/>
      <c r="CG38" s="32"/>
    </row>
    <row r="39" customFormat="false" ht="42.75" hidden="false" customHeight="true" outlineLevel="0" collapsed="false">
      <c r="A39" s="17" t="s">
        <v>105</v>
      </c>
      <c r="B39" s="17"/>
      <c r="C39" s="17"/>
      <c r="D39" s="17"/>
      <c r="E39" s="17"/>
      <c r="F39" s="17"/>
      <c r="G39" s="18" t="s">
        <v>15</v>
      </c>
      <c r="H39" s="18"/>
      <c r="I39" s="18"/>
      <c r="J39" s="18"/>
      <c r="K39" s="26" t="s">
        <v>106</v>
      </c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42" t="s">
        <v>107</v>
      </c>
      <c r="AA39" s="42"/>
      <c r="AB39" s="42"/>
      <c r="AC39" s="42"/>
      <c r="AD39" s="42"/>
      <c r="AE39" s="42"/>
      <c r="AF39" s="42"/>
      <c r="AG39" s="42"/>
      <c r="AH39" s="42"/>
      <c r="AI39" s="49" t="n">
        <v>10</v>
      </c>
      <c r="AJ39" s="49"/>
      <c r="AK39" s="49"/>
      <c r="AL39" s="49"/>
      <c r="AM39" s="49"/>
      <c r="AN39" s="49"/>
      <c r="AO39" s="20" t="s">
        <v>185</v>
      </c>
      <c r="AP39" s="37" t="s">
        <v>18</v>
      </c>
      <c r="AQ39" s="21" t="s">
        <v>94</v>
      </c>
      <c r="AR39" s="21"/>
      <c r="AS39" s="21"/>
      <c r="AT39" s="21"/>
      <c r="AU39" s="21" t="s">
        <v>108</v>
      </c>
      <c r="AV39" s="21"/>
      <c r="AW39" s="21"/>
      <c r="AX39" s="21"/>
      <c r="AY39" s="21"/>
      <c r="AZ39" s="21"/>
      <c r="BA39" s="21"/>
      <c r="BB39" s="21"/>
      <c r="BC39" s="21"/>
      <c r="BD39" s="22" t="s">
        <v>109</v>
      </c>
      <c r="BE39" s="22"/>
      <c r="BF39" s="22"/>
      <c r="BG39" s="23" t="str">
        <f aca="false">IFERROR(VLOOKUP('Cash Cuzdan Wallet'!BD39,Lookups111!A$4:B$38,2,FALSE()),"")</f>
        <v>Cari vaxtı keçmiş qalıq &gt; 10 AZN</v>
      </c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19"/>
      <c r="BV39" s="19"/>
      <c r="BW39" s="19"/>
      <c r="BX39" s="19"/>
      <c r="BY39" s="19"/>
      <c r="BZ39" s="24" t="n">
        <v>2</v>
      </c>
      <c r="CA39" s="24"/>
      <c r="CB39" s="24"/>
      <c r="CC39" s="24"/>
      <c r="CD39" s="24"/>
      <c r="CE39" s="24"/>
      <c r="CF39" s="24"/>
      <c r="CG39" s="24"/>
    </row>
    <row r="40" customFormat="false" ht="15" hidden="false" customHeight="true" outlineLevel="0" collapsed="false">
      <c r="A40" s="18" t="s">
        <v>110</v>
      </c>
      <c r="B40" s="18"/>
      <c r="C40" s="18"/>
      <c r="D40" s="18"/>
      <c r="E40" s="18"/>
      <c r="F40" s="18"/>
      <c r="G40" s="18" t="s">
        <v>15</v>
      </c>
      <c r="H40" s="18"/>
      <c r="I40" s="18"/>
      <c r="J40" s="18"/>
      <c r="K40" s="42" t="s">
        <v>111</v>
      </c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 t="s">
        <v>112</v>
      </c>
      <c r="AA40" s="42"/>
      <c r="AB40" s="42"/>
      <c r="AC40" s="42"/>
      <c r="AD40" s="42"/>
      <c r="AE40" s="42"/>
      <c r="AF40" s="42"/>
      <c r="AG40" s="42"/>
      <c r="AH40" s="42"/>
      <c r="AI40" s="43" t="n">
        <v>10</v>
      </c>
      <c r="AJ40" s="43"/>
      <c r="AK40" s="43"/>
      <c r="AL40" s="43"/>
      <c r="AM40" s="43"/>
      <c r="AN40" s="43"/>
      <c r="AO40" s="21" t="s">
        <v>66</v>
      </c>
      <c r="AP40" s="21" t="s">
        <v>18</v>
      </c>
      <c r="AQ40" s="21" t="s">
        <v>87</v>
      </c>
      <c r="AR40" s="21"/>
      <c r="AS40" s="21"/>
      <c r="AT40" s="21"/>
      <c r="AU40" s="21" t="s">
        <v>111</v>
      </c>
      <c r="AV40" s="21"/>
      <c r="AW40" s="21"/>
      <c r="AX40" s="21"/>
      <c r="AY40" s="21"/>
      <c r="AZ40" s="21"/>
      <c r="BA40" s="21"/>
      <c r="BB40" s="21"/>
      <c r="BC40" s="21"/>
      <c r="BD40" s="22" t="s">
        <v>113</v>
      </c>
      <c r="BE40" s="22"/>
      <c r="BF40" s="22"/>
      <c r="BG40" s="22" t="str">
        <f aca="false">IFERROR(VLOOKUP('Cash Cuzdan Wallet'!BD40,Lookups111!A$4:B$38,2,FALSE()),"")</f>
        <v>Kredit müqaviləsi bitib</v>
      </c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50" t="n">
        <v>3</v>
      </c>
      <c r="CA40" s="50"/>
      <c r="CB40" s="50"/>
      <c r="CC40" s="50"/>
      <c r="CD40" s="50"/>
      <c r="CE40" s="50"/>
      <c r="CF40" s="50"/>
      <c r="CG40" s="50"/>
    </row>
    <row r="41" customFormat="false" ht="15" hidden="false" customHeight="true" outlineLevel="0" collapsed="false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 t="s">
        <v>114</v>
      </c>
      <c r="AA41" s="42"/>
      <c r="AB41" s="42"/>
      <c r="AC41" s="42"/>
      <c r="AD41" s="42"/>
      <c r="AE41" s="42"/>
      <c r="AF41" s="42"/>
      <c r="AG41" s="42"/>
      <c r="AH41" s="42"/>
      <c r="AI41" s="43" t="n">
        <v>0</v>
      </c>
      <c r="AJ41" s="43"/>
      <c r="AK41" s="43"/>
      <c r="AL41" s="43"/>
      <c r="AM41" s="43"/>
      <c r="AN41" s="43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50"/>
      <c r="CA41" s="50"/>
      <c r="CB41" s="50"/>
      <c r="CC41" s="50"/>
      <c r="CD41" s="50"/>
      <c r="CE41" s="50"/>
      <c r="CF41" s="50"/>
      <c r="CG41" s="50"/>
    </row>
    <row r="42" customFormat="false" ht="28.5" hidden="false" customHeight="true" outlineLevel="0" collapsed="false">
      <c r="A42" s="17" t="s">
        <v>115</v>
      </c>
      <c r="B42" s="17"/>
      <c r="C42" s="17"/>
      <c r="D42" s="17"/>
      <c r="E42" s="17"/>
      <c r="F42" s="17"/>
      <c r="G42" s="18" t="s">
        <v>15</v>
      </c>
      <c r="H42" s="18"/>
      <c r="I42" s="18"/>
      <c r="J42" s="18"/>
      <c r="K42" s="26" t="s">
        <v>116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20" t="s">
        <v>185</v>
      </c>
      <c r="AP42" s="37" t="s">
        <v>18</v>
      </c>
      <c r="AQ42" s="21" t="s">
        <v>94</v>
      </c>
      <c r="AR42" s="21"/>
      <c r="AS42" s="21"/>
      <c r="AT42" s="21"/>
      <c r="AU42" s="21" t="s">
        <v>117</v>
      </c>
      <c r="AV42" s="21"/>
      <c r="AW42" s="21"/>
      <c r="AX42" s="21"/>
      <c r="AY42" s="21"/>
      <c r="AZ42" s="21"/>
      <c r="BA42" s="21"/>
      <c r="BB42" s="21"/>
      <c r="BC42" s="21"/>
      <c r="BD42" s="22" t="s">
        <v>118</v>
      </c>
      <c r="BE42" s="22"/>
      <c r="BF42" s="22"/>
      <c r="BG42" s="23" t="str">
        <f aca="false">IFERROR(VLOOKUP('Cash Cuzdan Wallet'!BD42,Lookups111!A$4:B$38,2,FALSE()),"")</f>
        <v>Cari gün gecikməsi</v>
      </c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19"/>
      <c r="BV42" s="19"/>
      <c r="BW42" s="19"/>
      <c r="BX42" s="19"/>
      <c r="BY42" s="19"/>
      <c r="BZ42" s="24" t="n">
        <v>4</v>
      </c>
      <c r="CA42" s="24"/>
      <c r="CB42" s="24"/>
      <c r="CC42" s="24"/>
      <c r="CD42" s="24"/>
      <c r="CE42" s="24"/>
      <c r="CF42" s="24"/>
      <c r="CG42" s="24"/>
      <c r="CN42" s="53"/>
      <c r="CO42" s="53"/>
      <c r="CP42" s="53"/>
      <c r="CQ42" s="53"/>
      <c r="CR42" s="53"/>
      <c r="CS42" s="53"/>
      <c r="CT42" s="53"/>
      <c r="CU42" s="53"/>
      <c r="CV42" s="53"/>
      <c r="CW42" s="53"/>
      <c r="CX42" s="53"/>
      <c r="CY42" s="53"/>
      <c r="CZ42" s="53"/>
      <c r="DA42" s="53"/>
      <c r="DB42" s="53"/>
    </row>
    <row r="43" customFormat="false" ht="15" hidden="false" customHeight="true" outlineLevel="0" collapsed="false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61"/>
      <c r="AU43" s="61"/>
      <c r="AV43" s="61"/>
      <c r="AW43" s="61"/>
      <c r="AX43" s="61"/>
      <c r="AY43" s="61"/>
      <c r="AZ43" s="61"/>
      <c r="BA43" s="61"/>
      <c r="BB43" s="61"/>
      <c r="BC43" s="61"/>
      <c r="BD43" s="61"/>
      <c r="BE43" s="61"/>
      <c r="BF43" s="61"/>
      <c r="BG43" s="61"/>
      <c r="BH43" s="61"/>
      <c r="BI43" s="61"/>
      <c r="BJ43" s="61"/>
      <c r="BK43" s="61"/>
      <c r="BL43" s="61"/>
      <c r="BM43" s="61"/>
      <c r="BN43" s="61"/>
      <c r="BO43" s="61"/>
      <c r="BP43" s="61"/>
      <c r="BQ43" s="61"/>
      <c r="BR43" s="61"/>
      <c r="BS43" s="61"/>
      <c r="BT43" s="61"/>
      <c r="BU43" s="61"/>
      <c r="BV43" s="61"/>
      <c r="BW43" s="61"/>
      <c r="BX43" s="61"/>
      <c r="BY43" s="61"/>
    </row>
    <row r="44" customFormat="false" ht="15" hidden="false" customHeight="true" outlineLevel="0" collapsed="false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61"/>
      <c r="AL44" s="61"/>
      <c r="AM44" s="61"/>
      <c r="AN44" s="61"/>
      <c r="AO44" s="61"/>
      <c r="AP44" s="61"/>
      <c r="AQ44" s="61"/>
      <c r="AR44" s="61"/>
      <c r="AS44" s="61"/>
      <c r="AT44" s="61"/>
      <c r="AU44" s="61"/>
      <c r="AV44" s="61"/>
      <c r="AW44" s="61"/>
      <c r="AX44" s="61"/>
      <c r="AY44" s="61"/>
      <c r="AZ44" s="61"/>
      <c r="BA44" s="61"/>
      <c r="BB44" s="61"/>
      <c r="BC44" s="61"/>
      <c r="BD44" s="61"/>
      <c r="BE44" s="61"/>
      <c r="BF44" s="61"/>
      <c r="BG44" s="61"/>
      <c r="BH44" s="61"/>
      <c r="BI44" s="61"/>
      <c r="BJ44" s="61"/>
      <c r="BK44" s="61"/>
      <c r="BL44" s="61"/>
      <c r="BM44" s="61"/>
      <c r="BN44" s="61"/>
      <c r="BO44" s="61"/>
      <c r="BP44" s="61"/>
      <c r="BQ44" s="61"/>
      <c r="BR44" s="61"/>
      <c r="BS44" s="61"/>
      <c r="BT44" s="61"/>
      <c r="BU44" s="61"/>
      <c r="BV44" s="61"/>
      <c r="BW44" s="61"/>
      <c r="BX44" s="61"/>
      <c r="BY44" s="61"/>
    </row>
    <row r="45" customFormat="false" ht="15" hidden="false" customHeight="true" outlineLevel="0" collapsed="false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61"/>
      <c r="AL45" s="61"/>
      <c r="AM45" s="61"/>
      <c r="AN45" s="61"/>
      <c r="AO45" s="61"/>
      <c r="AP45" s="61"/>
      <c r="AQ45" s="61"/>
      <c r="AR45" s="61"/>
      <c r="AS45" s="61"/>
      <c r="AT45" s="61"/>
      <c r="AU45" s="61"/>
      <c r="AV45" s="61"/>
      <c r="AW45" s="61"/>
      <c r="AX45" s="61"/>
      <c r="AY45" s="61"/>
      <c r="AZ45" s="61"/>
      <c r="BA45" s="61"/>
      <c r="BB45" s="61"/>
      <c r="BC45" s="61"/>
      <c r="BD45" s="61"/>
      <c r="BE45" s="61"/>
      <c r="BF45" s="61"/>
      <c r="BG45" s="61"/>
      <c r="BH45" s="61"/>
      <c r="BI45" s="61"/>
      <c r="BJ45" s="61"/>
      <c r="BK45" s="61"/>
      <c r="BL45" s="61"/>
      <c r="BM45" s="61"/>
      <c r="BN45" s="61"/>
      <c r="BO45" s="61"/>
      <c r="BP45" s="61"/>
      <c r="BQ45" s="61"/>
      <c r="BR45" s="61"/>
      <c r="BS45" s="61"/>
      <c r="BT45" s="61"/>
      <c r="BU45" s="61"/>
      <c r="BV45" s="61"/>
      <c r="BW45" s="61"/>
      <c r="BX45" s="61"/>
      <c r="BY45" s="61"/>
    </row>
    <row r="46" customFormat="false" ht="15" hidden="false" customHeight="true" outlineLevel="0" collapsed="false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1"/>
      <c r="AL46" s="61"/>
      <c r="AM46" s="61"/>
      <c r="AN46" s="61"/>
      <c r="AO46" s="61"/>
      <c r="AP46" s="61"/>
      <c r="AQ46" s="61"/>
      <c r="AR46" s="61"/>
      <c r="AS46" s="61"/>
      <c r="AT46" s="61"/>
      <c r="AU46" s="61"/>
      <c r="AV46" s="61"/>
      <c r="AW46" s="61"/>
      <c r="AX46" s="61"/>
      <c r="AY46" s="61"/>
      <c r="AZ46" s="61"/>
      <c r="BA46" s="61"/>
      <c r="BB46" s="61"/>
      <c r="BC46" s="61"/>
      <c r="BD46" s="61"/>
      <c r="BE46" s="61"/>
      <c r="BF46" s="61"/>
      <c r="BG46" s="61"/>
      <c r="BH46" s="61"/>
      <c r="BI46" s="61"/>
      <c r="BJ46" s="61"/>
      <c r="BK46" s="61"/>
      <c r="BL46" s="61"/>
      <c r="BM46" s="61"/>
      <c r="BN46" s="61"/>
      <c r="BO46" s="61"/>
      <c r="BP46" s="61"/>
      <c r="BQ46" s="61"/>
      <c r="BR46" s="61"/>
      <c r="BS46" s="61"/>
      <c r="BT46" s="61"/>
      <c r="BU46" s="61"/>
      <c r="BV46" s="61"/>
      <c r="BW46" s="61"/>
      <c r="BX46" s="61"/>
      <c r="BY46" s="61"/>
    </row>
    <row r="47" customFormat="false" ht="15" hidden="false" customHeight="true" outlineLevel="0" collapsed="false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1"/>
      <c r="AY47" s="61"/>
      <c r="AZ47" s="61"/>
      <c r="BA47" s="61"/>
      <c r="BB47" s="61"/>
      <c r="BC47" s="61"/>
      <c r="BD47" s="61"/>
      <c r="BE47" s="61"/>
      <c r="BF47" s="61"/>
      <c r="BG47" s="61"/>
      <c r="BH47" s="61"/>
      <c r="BI47" s="61"/>
      <c r="BJ47" s="61"/>
      <c r="BK47" s="61"/>
      <c r="BL47" s="61"/>
      <c r="BM47" s="61"/>
      <c r="BN47" s="61"/>
      <c r="BO47" s="61"/>
      <c r="BP47" s="61"/>
      <c r="BQ47" s="61"/>
      <c r="BR47" s="61"/>
      <c r="BS47" s="61"/>
      <c r="BT47" s="61"/>
      <c r="BU47" s="61"/>
      <c r="BV47" s="61"/>
      <c r="BW47" s="61"/>
      <c r="BX47" s="61"/>
      <c r="BY47" s="61"/>
    </row>
    <row r="48" customFormat="false" ht="15" hidden="false" customHeight="true" outlineLevel="0" collapsed="false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1"/>
      <c r="AX48" s="61"/>
      <c r="AY48" s="61"/>
      <c r="AZ48" s="61"/>
      <c r="BA48" s="61"/>
      <c r="BB48" s="61"/>
      <c r="BC48" s="61"/>
      <c r="BD48" s="61"/>
      <c r="BE48" s="61"/>
      <c r="BF48" s="61"/>
      <c r="BG48" s="61"/>
      <c r="BH48" s="61"/>
      <c r="BI48" s="61"/>
      <c r="BJ48" s="61"/>
      <c r="BK48" s="61"/>
      <c r="BL48" s="61"/>
      <c r="BM48" s="61"/>
      <c r="BN48" s="61"/>
      <c r="BO48" s="61"/>
      <c r="BP48" s="61"/>
      <c r="BQ48" s="61"/>
      <c r="BR48" s="61"/>
      <c r="BS48" s="61"/>
      <c r="BT48" s="61"/>
      <c r="BU48" s="61"/>
      <c r="BV48" s="61"/>
      <c r="BW48" s="61"/>
      <c r="BX48" s="61"/>
      <c r="BY48" s="61"/>
    </row>
    <row r="49" customFormat="false" ht="15" hidden="false" customHeight="true" outlineLevel="0" collapsed="false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61"/>
      <c r="AX49" s="61"/>
      <c r="AY49" s="61"/>
      <c r="AZ49" s="61"/>
      <c r="BA49" s="61"/>
      <c r="BB49" s="61"/>
      <c r="BC49" s="61"/>
      <c r="BD49" s="61"/>
      <c r="BE49" s="61"/>
      <c r="BF49" s="61"/>
      <c r="BG49" s="61"/>
      <c r="BH49" s="61"/>
      <c r="BI49" s="61"/>
      <c r="BJ49" s="61"/>
      <c r="BK49" s="61"/>
      <c r="BL49" s="61"/>
      <c r="BM49" s="61"/>
      <c r="BN49" s="61"/>
      <c r="BO49" s="61"/>
      <c r="BP49" s="61"/>
      <c r="BQ49" s="61"/>
      <c r="BR49" s="61"/>
      <c r="BS49" s="61"/>
      <c r="BT49" s="61"/>
      <c r="BU49" s="61"/>
      <c r="BV49" s="61"/>
      <c r="BW49" s="61"/>
      <c r="BX49" s="61"/>
      <c r="BY49" s="61"/>
    </row>
    <row r="50" customFormat="false" ht="15" hidden="false" customHeight="true" outlineLevel="0" collapsed="false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1"/>
      <c r="AA50" s="61"/>
      <c r="AB50" s="61"/>
      <c r="AC50" s="61"/>
      <c r="AD50" s="61"/>
      <c r="AE50" s="61"/>
      <c r="AF50" s="61"/>
      <c r="AG50" s="61"/>
      <c r="AH50" s="61"/>
      <c r="AI50" s="61"/>
      <c r="AJ50" s="61"/>
      <c r="AK50" s="61"/>
      <c r="AL50" s="61"/>
      <c r="AM50" s="61"/>
      <c r="AN50" s="61"/>
      <c r="AO50" s="61"/>
      <c r="AP50" s="61"/>
      <c r="AQ50" s="61"/>
      <c r="AR50" s="61"/>
      <c r="AS50" s="61"/>
      <c r="AT50" s="61"/>
      <c r="AU50" s="61"/>
      <c r="AV50" s="61"/>
      <c r="AW50" s="61"/>
      <c r="AX50" s="61"/>
      <c r="AY50" s="61"/>
      <c r="AZ50" s="61"/>
      <c r="BA50" s="61"/>
      <c r="BB50" s="61"/>
      <c r="BC50" s="61"/>
      <c r="BD50" s="61"/>
      <c r="BE50" s="61"/>
      <c r="BF50" s="61"/>
      <c r="BG50" s="61"/>
      <c r="BH50" s="61"/>
      <c r="BI50" s="61"/>
      <c r="BJ50" s="61"/>
      <c r="BK50" s="61"/>
      <c r="BL50" s="61"/>
      <c r="BM50" s="61"/>
      <c r="BN50" s="61"/>
      <c r="BO50" s="61"/>
      <c r="BP50" s="61"/>
      <c r="BQ50" s="61"/>
      <c r="BR50" s="61"/>
      <c r="BS50" s="61"/>
      <c r="BT50" s="61"/>
      <c r="BU50" s="61"/>
      <c r="BV50" s="61"/>
      <c r="BW50" s="61"/>
      <c r="BX50" s="61"/>
      <c r="BY50" s="61"/>
    </row>
    <row r="51" customFormat="false" ht="15" hidden="false" customHeight="true" outlineLevel="0" collapsed="false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  <c r="AL51" s="61"/>
      <c r="AM51" s="61"/>
      <c r="AN51" s="61"/>
      <c r="AO51" s="61"/>
      <c r="AP51" s="61"/>
      <c r="AQ51" s="61"/>
      <c r="AR51" s="61"/>
      <c r="AS51" s="61"/>
      <c r="AT51" s="61"/>
      <c r="AU51" s="61"/>
      <c r="AV51" s="61"/>
      <c r="AW51" s="61"/>
      <c r="AX51" s="61"/>
      <c r="AY51" s="61"/>
      <c r="AZ51" s="61"/>
      <c r="BA51" s="61"/>
      <c r="BB51" s="61"/>
      <c r="BC51" s="61"/>
      <c r="BD51" s="61"/>
      <c r="BE51" s="61"/>
      <c r="BF51" s="61"/>
      <c r="BG51" s="61"/>
      <c r="BH51" s="61"/>
      <c r="BI51" s="61"/>
      <c r="BJ51" s="61"/>
      <c r="BK51" s="61"/>
      <c r="BL51" s="61"/>
      <c r="BM51" s="61"/>
      <c r="BN51" s="61"/>
      <c r="BO51" s="61"/>
      <c r="BP51" s="61"/>
      <c r="BQ51" s="61"/>
      <c r="BR51" s="61"/>
      <c r="BS51" s="61"/>
      <c r="BT51" s="61"/>
      <c r="BU51" s="61"/>
      <c r="BV51" s="61"/>
      <c r="BW51" s="61"/>
      <c r="BX51" s="61"/>
      <c r="BY51" s="61"/>
    </row>
    <row r="52" customFormat="false" ht="15" hidden="false" customHeight="true" outlineLevel="0" collapsed="false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1"/>
      <c r="AA52" s="61"/>
      <c r="AB52" s="61"/>
      <c r="AC52" s="61"/>
      <c r="AD52" s="61"/>
      <c r="AE52" s="61"/>
      <c r="AF52" s="61"/>
      <c r="AG52" s="61"/>
      <c r="AH52" s="61"/>
      <c r="AI52" s="61"/>
      <c r="AJ52" s="61"/>
      <c r="AK52" s="61"/>
      <c r="AL52" s="61"/>
      <c r="AM52" s="61"/>
      <c r="AN52" s="61"/>
      <c r="AO52" s="61"/>
      <c r="AP52" s="61"/>
      <c r="AQ52" s="61"/>
      <c r="AR52" s="61"/>
      <c r="AS52" s="61"/>
      <c r="AT52" s="61"/>
      <c r="AU52" s="61"/>
      <c r="AV52" s="61"/>
      <c r="AW52" s="61"/>
      <c r="AX52" s="61"/>
      <c r="AY52" s="61"/>
      <c r="AZ52" s="61"/>
      <c r="BA52" s="61"/>
      <c r="BB52" s="61"/>
      <c r="BC52" s="61"/>
      <c r="BD52" s="61"/>
      <c r="BE52" s="61"/>
      <c r="BF52" s="61"/>
      <c r="BG52" s="61"/>
      <c r="BH52" s="61"/>
      <c r="BI52" s="61"/>
      <c r="BJ52" s="61"/>
      <c r="BK52" s="61"/>
      <c r="BL52" s="61"/>
      <c r="BM52" s="61"/>
      <c r="BN52" s="61"/>
      <c r="BO52" s="61"/>
      <c r="BP52" s="61"/>
      <c r="BQ52" s="61"/>
      <c r="BR52" s="61"/>
      <c r="BS52" s="61"/>
      <c r="BT52" s="61"/>
      <c r="BU52" s="61"/>
      <c r="BV52" s="61"/>
      <c r="BW52" s="61"/>
      <c r="BX52" s="61"/>
      <c r="BY52" s="61"/>
    </row>
    <row r="53" customFormat="false" ht="15" hidden="false" customHeight="true" outlineLevel="0" collapsed="false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1"/>
      <c r="AA53" s="61"/>
      <c r="AB53" s="61"/>
      <c r="AC53" s="61"/>
      <c r="AD53" s="61"/>
      <c r="AE53" s="61"/>
      <c r="AF53" s="61"/>
      <c r="AG53" s="61"/>
      <c r="AH53" s="61"/>
      <c r="AI53" s="61"/>
      <c r="AJ53" s="61"/>
      <c r="AK53" s="61"/>
      <c r="AL53" s="61"/>
      <c r="AM53" s="61"/>
      <c r="AN53" s="61"/>
      <c r="AO53" s="61"/>
      <c r="AP53" s="61"/>
      <c r="AQ53" s="61"/>
      <c r="AR53" s="61"/>
      <c r="AS53" s="61"/>
      <c r="AT53" s="61"/>
      <c r="AU53" s="61"/>
      <c r="AV53" s="61"/>
      <c r="AW53" s="61"/>
      <c r="AX53" s="61"/>
      <c r="AY53" s="61"/>
      <c r="AZ53" s="61"/>
      <c r="BA53" s="61"/>
      <c r="BB53" s="61"/>
      <c r="BC53" s="61"/>
      <c r="BD53" s="61"/>
      <c r="BE53" s="61"/>
      <c r="BF53" s="61"/>
      <c r="BG53" s="61"/>
      <c r="BH53" s="61"/>
      <c r="BI53" s="61"/>
      <c r="BJ53" s="61"/>
      <c r="BK53" s="61"/>
      <c r="BL53" s="61"/>
      <c r="BM53" s="61"/>
      <c r="BN53" s="61"/>
      <c r="BO53" s="61"/>
      <c r="BP53" s="61"/>
      <c r="BQ53" s="61"/>
      <c r="BR53" s="61"/>
      <c r="BS53" s="61"/>
      <c r="BT53" s="61"/>
      <c r="BU53" s="61"/>
      <c r="BV53" s="61"/>
      <c r="BW53" s="61"/>
      <c r="BX53" s="61"/>
      <c r="BY53" s="61"/>
    </row>
    <row r="54" customFormat="false" ht="15" hidden="false" customHeight="true" outlineLevel="0" collapsed="false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1"/>
      <c r="AX54" s="61"/>
      <c r="AY54" s="61"/>
      <c r="AZ54" s="61"/>
      <c r="BA54" s="61"/>
      <c r="BB54" s="61"/>
      <c r="BC54" s="61"/>
      <c r="BD54" s="61"/>
      <c r="BE54" s="61"/>
      <c r="BF54" s="61"/>
      <c r="BG54" s="61"/>
      <c r="BH54" s="61"/>
      <c r="BI54" s="61"/>
      <c r="BJ54" s="61"/>
      <c r="BK54" s="61"/>
      <c r="BL54" s="61"/>
      <c r="BM54" s="61"/>
      <c r="BN54" s="61"/>
      <c r="BO54" s="61"/>
      <c r="BP54" s="61"/>
      <c r="BQ54" s="61"/>
      <c r="BR54" s="61"/>
      <c r="BS54" s="61"/>
      <c r="BT54" s="61"/>
      <c r="BU54" s="61"/>
      <c r="BV54" s="61"/>
      <c r="BW54" s="61"/>
      <c r="BX54" s="61"/>
      <c r="BY54" s="61"/>
    </row>
    <row r="55" customFormat="false" ht="15" hidden="false" customHeight="true" outlineLevel="0" collapsed="false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61"/>
      <c r="AW55" s="61"/>
      <c r="AX55" s="61"/>
      <c r="AY55" s="61"/>
      <c r="AZ55" s="61"/>
      <c r="BA55" s="61"/>
      <c r="BB55" s="61"/>
      <c r="BC55" s="61"/>
      <c r="BD55" s="61"/>
      <c r="BE55" s="61"/>
      <c r="BF55" s="61"/>
      <c r="BG55" s="61"/>
      <c r="BH55" s="61"/>
      <c r="BI55" s="61"/>
      <c r="BJ55" s="61"/>
      <c r="BK55" s="61"/>
      <c r="BL55" s="61"/>
      <c r="BM55" s="61"/>
      <c r="BN55" s="61"/>
      <c r="BO55" s="61"/>
      <c r="BP55" s="61"/>
      <c r="BQ55" s="61"/>
      <c r="BR55" s="61"/>
      <c r="BS55" s="61"/>
      <c r="BT55" s="61"/>
      <c r="BU55" s="61"/>
      <c r="BV55" s="61"/>
      <c r="BW55" s="61"/>
      <c r="BX55" s="61"/>
      <c r="BY55" s="61"/>
    </row>
    <row r="56" customFormat="false" ht="15" hidden="false" customHeight="true" outlineLevel="0" collapsed="false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61"/>
      <c r="AK56" s="61"/>
      <c r="AL56" s="61"/>
      <c r="AM56" s="61"/>
      <c r="AN56" s="61"/>
      <c r="AO56" s="61"/>
      <c r="AP56" s="61"/>
      <c r="AQ56" s="61"/>
      <c r="AR56" s="61"/>
      <c r="AS56" s="61"/>
      <c r="AT56" s="61"/>
      <c r="AU56" s="61"/>
      <c r="AV56" s="61"/>
      <c r="AW56" s="61"/>
      <c r="AX56" s="61"/>
      <c r="AY56" s="61"/>
      <c r="AZ56" s="61"/>
      <c r="BA56" s="61"/>
      <c r="BB56" s="61"/>
      <c r="BC56" s="61"/>
      <c r="BD56" s="61"/>
      <c r="BE56" s="61"/>
      <c r="BF56" s="61"/>
      <c r="BG56" s="61"/>
      <c r="BH56" s="61"/>
      <c r="BI56" s="61"/>
      <c r="BJ56" s="61"/>
      <c r="BK56" s="61"/>
      <c r="BL56" s="61"/>
      <c r="BM56" s="61"/>
      <c r="BN56" s="61"/>
      <c r="BO56" s="61"/>
      <c r="BP56" s="61"/>
      <c r="BQ56" s="61"/>
      <c r="BR56" s="61"/>
      <c r="BS56" s="61"/>
      <c r="BT56" s="61"/>
      <c r="BU56" s="61"/>
      <c r="BV56" s="61"/>
      <c r="BW56" s="61"/>
      <c r="BX56" s="61"/>
      <c r="BY56" s="61"/>
    </row>
    <row r="57" customFormat="false" ht="15" hidden="false" customHeight="true" outlineLevel="0" collapsed="false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61"/>
      <c r="AZ57" s="61"/>
      <c r="BA57" s="61"/>
      <c r="BB57" s="61"/>
      <c r="BC57" s="61"/>
      <c r="BD57" s="61"/>
      <c r="BE57" s="61"/>
      <c r="BF57" s="61"/>
      <c r="BG57" s="61"/>
      <c r="BH57" s="61"/>
      <c r="BI57" s="61"/>
      <c r="BJ57" s="61"/>
      <c r="BK57" s="61"/>
      <c r="BL57" s="61"/>
      <c r="BM57" s="61"/>
      <c r="BN57" s="61"/>
      <c r="BO57" s="61"/>
      <c r="BP57" s="61"/>
      <c r="BQ57" s="61"/>
      <c r="BR57" s="61"/>
      <c r="BS57" s="61"/>
      <c r="BT57" s="61"/>
      <c r="BU57" s="61"/>
      <c r="BV57" s="61"/>
      <c r="BW57" s="61"/>
      <c r="BX57" s="61"/>
      <c r="BY57" s="61"/>
    </row>
    <row r="58" customFormat="false" ht="15" hidden="false" customHeight="true" outlineLevel="0" collapsed="false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1"/>
      <c r="AA58" s="61"/>
      <c r="AB58" s="61"/>
      <c r="AC58" s="61"/>
      <c r="AD58" s="61"/>
      <c r="AE58" s="61"/>
      <c r="AF58" s="61"/>
      <c r="AG58" s="61"/>
      <c r="AH58" s="61"/>
      <c r="AI58" s="61"/>
      <c r="AJ58" s="61"/>
      <c r="AK58" s="61"/>
      <c r="AL58" s="61"/>
      <c r="AM58" s="61"/>
      <c r="AN58" s="61"/>
      <c r="AO58" s="61"/>
      <c r="AP58" s="61"/>
      <c r="AQ58" s="61"/>
      <c r="AR58" s="61"/>
      <c r="AS58" s="61"/>
      <c r="AT58" s="61"/>
      <c r="AU58" s="61"/>
      <c r="AV58" s="61"/>
      <c r="AW58" s="61"/>
      <c r="AX58" s="61"/>
      <c r="AY58" s="61"/>
      <c r="AZ58" s="61"/>
      <c r="BA58" s="61"/>
      <c r="BB58" s="61"/>
      <c r="BC58" s="61"/>
      <c r="BD58" s="61"/>
      <c r="BE58" s="61"/>
      <c r="BF58" s="61"/>
      <c r="BG58" s="61"/>
      <c r="BH58" s="61"/>
      <c r="BI58" s="61"/>
      <c r="BJ58" s="61"/>
      <c r="BK58" s="61"/>
      <c r="BL58" s="61"/>
      <c r="BM58" s="61"/>
      <c r="BN58" s="61"/>
      <c r="BO58" s="61"/>
      <c r="BP58" s="61"/>
      <c r="BQ58" s="61"/>
      <c r="BR58" s="61"/>
      <c r="BS58" s="61"/>
      <c r="BT58" s="61"/>
      <c r="BU58" s="61"/>
      <c r="BV58" s="61"/>
      <c r="BW58" s="61"/>
      <c r="BX58" s="61"/>
      <c r="BY58" s="61"/>
    </row>
    <row r="59" customFormat="false" ht="15" hidden="false" customHeight="true" outlineLevel="0" collapsed="false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1"/>
      <c r="AA59" s="61"/>
      <c r="AB59" s="61"/>
      <c r="AC59" s="61"/>
      <c r="AD59" s="61"/>
      <c r="AE59" s="61"/>
      <c r="AF59" s="61"/>
      <c r="AG59" s="61"/>
      <c r="AH59" s="61"/>
      <c r="AI59" s="61"/>
      <c r="AJ59" s="61"/>
      <c r="AK59" s="61"/>
      <c r="AL59" s="61"/>
      <c r="AM59" s="61"/>
      <c r="AN59" s="61"/>
      <c r="AO59" s="61"/>
      <c r="AP59" s="61"/>
      <c r="AQ59" s="61"/>
      <c r="AR59" s="61"/>
      <c r="AS59" s="61"/>
      <c r="AT59" s="61"/>
      <c r="AU59" s="61"/>
      <c r="AV59" s="61"/>
      <c r="AW59" s="61"/>
      <c r="AX59" s="61"/>
      <c r="AY59" s="61"/>
      <c r="AZ59" s="61"/>
      <c r="BA59" s="61"/>
      <c r="BB59" s="61"/>
      <c r="BC59" s="61"/>
      <c r="BD59" s="61"/>
      <c r="BE59" s="61"/>
      <c r="BF59" s="61"/>
      <c r="BG59" s="61"/>
      <c r="BH59" s="61"/>
      <c r="BI59" s="61"/>
      <c r="BJ59" s="61"/>
      <c r="BK59" s="61"/>
      <c r="BL59" s="61"/>
      <c r="BM59" s="61"/>
      <c r="BN59" s="61"/>
      <c r="BO59" s="61"/>
      <c r="BP59" s="61"/>
      <c r="BQ59" s="61"/>
      <c r="BR59" s="61"/>
      <c r="BS59" s="61"/>
      <c r="BT59" s="61"/>
      <c r="BU59" s="61"/>
      <c r="BV59" s="61"/>
      <c r="BW59" s="61"/>
      <c r="BX59" s="61"/>
      <c r="BY59" s="61"/>
    </row>
  </sheetData>
  <mergeCells count="383">
    <mergeCell ref="BD1:CG1"/>
    <mergeCell ref="A2:BC2"/>
    <mergeCell ref="BD2:CG2"/>
    <mergeCell ref="CI2:CP2"/>
    <mergeCell ref="A3:F3"/>
    <mergeCell ref="G3:J3"/>
    <mergeCell ref="K3:Y3"/>
    <mergeCell ref="Z3:AN3"/>
    <mergeCell ref="AO3:BC3"/>
    <mergeCell ref="BD3:BT3"/>
    <mergeCell ref="BU3:BY3"/>
    <mergeCell ref="BZ3:CG3"/>
    <mergeCell ref="A4:AN4"/>
    <mergeCell ref="AQ4:AT4"/>
    <mergeCell ref="AU4:BC4"/>
    <mergeCell ref="BD4:CG4"/>
    <mergeCell ref="A5:F5"/>
    <mergeCell ref="G5:J5"/>
    <mergeCell ref="K5:Y5"/>
    <mergeCell ref="Z5:AN5"/>
    <mergeCell ref="AQ5:AT5"/>
    <mergeCell ref="AU5:BC5"/>
    <mergeCell ref="BD5:BF5"/>
    <mergeCell ref="BG5:BT5"/>
    <mergeCell ref="BU5:BY5"/>
    <mergeCell ref="BZ5:CG5"/>
    <mergeCell ref="A6:F6"/>
    <mergeCell ref="G6:J6"/>
    <mergeCell ref="K6:Y6"/>
    <mergeCell ref="Z6:AN6"/>
    <mergeCell ref="AQ6:AT6"/>
    <mergeCell ref="AU6:BC6"/>
    <mergeCell ref="BD6:BF6"/>
    <mergeCell ref="BG6:BT6"/>
    <mergeCell ref="BU6:BY6"/>
    <mergeCell ref="BZ6:CG6"/>
    <mergeCell ref="A7:F7"/>
    <mergeCell ref="G7:J7"/>
    <mergeCell ref="K7:Y7"/>
    <mergeCell ref="Z7:AN7"/>
    <mergeCell ref="AQ7:AT7"/>
    <mergeCell ref="AU7:BC7"/>
    <mergeCell ref="BD7:BF7"/>
    <mergeCell ref="BG7:BT7"/>
    <mergeCell ref="BU7:BY7"/>
    <mergeCell ref="BZ7:CG7"/>
    <mergeCell ref="A8:F8"/>
    <mergeCell ref="G8:J8"/>
    <mergeCell ref="K8:Y8"/>
    <mergeCell ref="Z8:AN8"/>
    <mergeCell ref="AQ8:AT8"/>
    <mergeCell ref="AU8:BC8"/>
    <mergeCell ref="BD8:BF8"/>
    <mergeCell ref="BG8:BT8"/>
    <mergeCell ref="BU8:BY8"/>
    <mergeCell ref="BZ8:CG8"/>
    <mergeCell ref="A9:F9"/>
    <mergeCell ref="G9:J9"/>
    <mergeCell ref="K9:Y9"/>
    <mergeCell ref="Z9:AN9"/>
    <mergeCell ref="AQ9:AT9"/>
    <mergeCell ref="AU9:BC9"/>
    <mergeCell ref="BD9:BF9"/>
    <mergeCell ref="BG9:BT9"/>
    <mergeCell ref="BU9:BY9"/>
    <mergeCell ref="BZ9:CG9"/>
    <mergeCell ref="A10:F10"/>
    <mergeCell ref="G10:J10"/>
    <mergeCell ref="K10:Y10"/>
    <mergeCell ref="Z10:AN10"/>
    <mergeCell ref="AQ10:AT10"/>
    <mergeCell ref="AU10:BC10"/>
    <mergeCell ref="BD10:BF10"/>
    <mergeCell ref="BG10:BT10"/>
    <mergeCell ref="BU10:BY10"/>
    <mergeCell ref="BZ10:CG10"/>
    <mergeCell ref="A11:F11"/>
    <mergeCell ref="G11:J11"/>
    <mergeCell ref="K11:Y11"/>
    <mergeCell ref="Z11:AN11"/>
    <mergeCell ref="AQ11:AT11"/>
    <mergeCell ref="AU11:BC11"/>
    <mergeCell ref="BD11:BF11"/>
    <mergeCell ref="BG11:BT11"/>
    <mergeCell ref="BU11:BY11"/>
    <mergeCell ref="BZ11:CG11"/>
    <mergeCell ref="A12:F12"/>
    <mergeCell ref="G12:J12"/>
    <mergeCell ref="K12:Y12"/>
    <mergeCell ref="Z12:AN12"/>
    <mergeCell ref="AQ12:AT12"/>
    <mergeCell ref="AU12:BC12"/>
    <mergeCell ref="BD12:BF12"/>
    <mergeCell ref="BG12:BT12"/>
    <mergeCell ref="BU12:BY12"/>
    <mergeCell ref="BZ12:CG12"/>
    <mergeCell ref="A13:F13"/>
    <mergeCell ref="G13:J13"/>
    <mergeCell ref="K13:Y13"/>
    <mergeCell ref="Z13:AN13"/>
    <mergeCell ref="AQ13:AT13"/>
    <mergeCell ref="AU13:BC13"/>
    <mergeCell ref="BD13:BF13"/>
    <mergeCell ref="BG13:BT13"/>
    <mergeCell ref="BU13:BY13"/>
    <mergeCell ref="BZ13:CG13"/>
    <mergeCell ref="A14:F14"/>
    <mergeCell ref="G14:J14"/>
    <mergeCell ref="K14:Y14"/>
    <mergeCell ref="Z14:AN14"/>
    <mergeCell ref="AQ14:AT14"/>
    <mergeCell ref="AU14:BC14"/>
    <mergeCell ref="BD14:BF14"/>
    <mergeCell ref="BG14:BT14"/>
    <mergeCell ref="BU14:BY14"/>
    <mergeCell ref="BZ14:CG14"/>
    <mergeCell ref="A15:F15"/>
    <mergeCell ref="G15:J15"/>
    <mergeCell ref="K15:Y15"/>
    <mergeCell ref="Z15:AN15"/>
    <mergeCell ref="AQ15:AT15"/>
    <mergeCell ref="AU15:BC15"/>
    <mergeCell ref="BD15:BF15"/>
    <mergeCell ref="BG15:BT15"/>
    <mergeCell ref="BU15:BY15"/>
    <mergeCell ref="BZ15:CG15"/>
    <mergeCell ref="A16:F16"/>
    <mergeCell ref="G16:J16"/>
    <mergeCell ref="K16:Y16"/>
    <mergeCell ref="Z16:AN16"/>
    <mergeCell ref="AQ16:AT16"/>
    <mergeCell ref="AU16:BC16"/>
    <mergeCell ref="BD16:BF16"/>
    <mergeCell ref="BG16:BT16"/>
    <mergeCell ref="BU16:BY16"/>
    <mergeCell ref="BZ16:CG16"/>
    <mergeCell ref="A17:F17"/>
    <mergeCell ref="G17:J17"/>
    <mergeCell ref="K17:Y17"/>
    <mergeCell ref="Z17:AN17"/>
    <mergeCell ref="AQ17:AT17"/>
    <mergeCell ref="AU17:BC17"/>
    <mergeCell ref="BD17:BF17"/>
    <mergeCell ref="BG17:BT17"/>
    <mergeCell ref="BU17:BY17"/>
    <mergeCell ref="BZ17:CG17"/>
    <mergeCell ref="A18:F18"/>
    <mergeCell ref="G18:J18"/>
    <mergeCell ref="K18:Y18"/>
    <mergeCell ref="Z18:AN18"/>
    <mergeCell ref="AQ18:AT18"/>
    <mergeCell ref="AU18:BC18"/>
    <mergeCell ref="BD18:BF18"/>
    <mergeCell ref="BG18:BT18"/>
    <mergeCell ref="BU18:BY18"/>
    <mergeCell ref="BZ18:CG18"/>
    <mergeCell ref="A19:BC19"/>
    <mergeCell ref="BD19:CG19"/>
    <mergeCell ref="A20:F21"/>
    <mergeCell ref="G20:J21"/>
    <mergeCell ref="K20:Y21"/>
    <mergeCell ref="Z20:AH20"/>
    <mergeCell ref="AI20:AN20"/>
    <mergeCell ref="AO20:AO21"/>
    <mergeCell ref="AP20:AP21"/>
    <mergeCell ref="AQ20:AT21"/>
    <mergeCell ref="AU20:BC21"/>
    <mergeCell ref="BD20:BF21"/>
    <mergeCell ref="BG20:BT21"/>
    <mergeCell ref="BU20:BY21"/>
    <mergeCell ref="BZ20:CG21"/>
    <mergeCell ref="Z21:AH21"/>
    <mergeCell ref="AI21:AN21"/>
    <mergeCell ref="A22:AN22"/>
    <mergeCell ref="AQ22:AT22"/>
    <mergeCell ref="AU22:BC22"/>
    <mergeCell ref="BD22:CG22"/>
    <mergeCell ref="A23:F23"/>
    <mergeCell ref="G23:J23"/>
    <mergeCell ref="K23:AN23"/>
    <mergeCell ref="AU23:BC23"/>
    <mergeCell ref="A24:F24"/>
    <mergeCell ref="G24:J24"/>
    <mergeCell ref="K24:AN24"/>
    <mergeCell ref="AU24:BC24"/>
    <mergeCell ref="A25:F25"/>
    <mergeCell ref="G25:J25"/>
    <mergeCell ref="K25:AN25"/>
    <mergeCell ref="AU25:BC25"/>
    <mergeCell ref="A26:AN26"/>
    <mergeCell ref="A27:AN27"/>
    <mergeCell ref="A28:AN28"/>
    <mergeCell ref="A29:AN29"/>
    <mergeCell ref="A30:AN30"/>
    <mergeCell ref="A31:AN31"/>
    <mergeCell ref="A32:AN32"/>
    <mergeCell ref="A33:AN33"/>
    <mergeCell ref="A34:F35"/>
    <mergeCell ref="G34:J35"/>
    <mergeCell ref="K34:Y35"/>
    <mergeCell ref="Z34:AH35"/>
    <mergeCell ref="AI34:AN35"/>
    <mergeCell ref="AO34:AO35"/>
    <mergeCell ref="AP34:AP35"/>
    <mergeCell ref="AQ34:AT35"/>
    <mergeCell ref="AU34:BC35"/>
    <mergeCell ref="BD34:BF35"/>
    <mergeCell ref="BG34:BT35"/>
    <mergeCell ref="BU34:BY35"/>
    <mergeCell ref="BZ34:CG35"/>
    <mergeCell ref="A36:AN36"/>
    <mergeCell ref="AU36:BC36"/>
    <mergeCell ref="BD36:CG36"/>
    <mergeCell ref="A37:F38"/>
    <mergeCell ref="G37:J38"/>
    <mergeCell ref="K37:Y38"/>
    <mergeCell ref="Z37:AH37"/>
    <mergeCell ref="AI37:AN37"/>
    <mergeCell ref="AO37:AO38"/>
    <mergeCell ref="AP37:AP38"/>
    <mergeCell ref="AQ37:AT38"/>
    <mergeCell ref="AU37:BC38"/>
    <mergeCell ref="BD37:BF38"/>
    <mergeCell ref="BG37:BT38"/>
    <mergeCell ref="BU37:BY38"/>
    <mergeCell ref="BZ37:CG38"/>
    <mergeCell ref="Z38:AH38"/>
    <mergeCell ref="AI38:AN38"/>
    <mergeCell ref="A39:F39"/>
    <mergeCell ref="G39:J39"/>
    <mergeCell ref="K39:Y39"/>
    <mergeCell ref="Z39:AH39"/>
    <mergeCell ref="AI39:AN39"/>
    <mergeCell ref="AQ39:AT39"/>
    <mergeCell ref="AU39:BC39"/>
    <mergeCell ref="BD39:BF39"/>
    <mergeCell ref="BG39:BT39"/>
    <mergeCell ref="BU39:BY39"/>
    <mergeCell ref="BZ39:CG39"/>
    <mergeCell ref="A40:F41"/>
    <mergeCell ref="G40:J41"/>
    <mergeCell ref="K40:Y41"/>
    <mergeCell ref="Z40:AH40"/>
    <mergeCell ref="AI40:AN40"/>
    <mergeCell ref="AO40:AO41"/>
    <mergeCell ref="AP40:AP41"/>
    <mergeCell ref="AQ40:AT41"/>
    <mergeCell ref="AU40:BC41"/>
    <mergeCell ref="BD40:BF41"/>
    <mergeCell ref="BG40:BT41"/>
    <mergeCell ref="BU40:BY41"/>
    <mergeCell ref="BZ40:CG41"/>
    <mergeCell ref="Z41:AH41"/>
    <mergeCell ref="AI41:AN41"/>
    <mergeCell ref="A42:F42"/>
    <mergeCell ref="G42:J42"/>
    <mergeCell ref="K42:Y42"/>
    <mergeCell ref="Z42:AN42"/>
    <mergeCell ref="AQ42:AT42"/>
    <mergeCell ref="AU42:BC42"/>
    <mergeCell ref="BD42:BF42"/>
    <mergeCell ref="BG42:BT42"/>
    <mergeCell ref="BU42:BY42"/>
    <mergeCell ref="BZ42:CG42"/>
    <mergeCell ref="A43:F43"/>
    <mergeCell ref="G43:J43"/>
    <mergeCell ref="K43:Y43"/>
    <mergeCell ref="Z43:AN43"/>
    <mergeCell ref="AO43:BC43"/>
    <mergeCell ref="BD43:BT43"/>
    <mergeCell ref="BU43:BY43"/>
    <mergeCell ref="A44:F44"/>
    <mergeCell ref="G44:J44"/>
    <mergeCell ref="K44:Y44"/>
    <mergeCell ref="Z44:AN44"/>
    <mergeCell ref="AO44:BC44"/>
    <mergeCell ref="BD44:BT44"/>
    <mergeCell ref="BU44:BY44"/>
    <mergeCell ref="A45:F45"/>
    <mergeCell ref="G45:J45"/>
    <mergeCell ref="K45:Y45"/>
    <mergeCell ref="Z45:AN45"/>
    <mergeCell ref="AO45:BC45"/>
    <mergeCell ref="BD45:BT45"/>
    <mergeCell ref="BU45:BY45"/>
    <mergeCell ref="A46:F46"/>
    <mergeCell ref="G46:J46"/>
    <mergeCell ref="K46:Y46"/>
    <mergeCell ref="Z46:AN46"/>
    <mergeCell ref="AO46:BC46"/>
    <mergeCell ref="BD46:BT46"/>
    <mergeCell ref="BU46:BY46"/>
    <mergeCell ref="A47:F47"/>
    <mergeCell ref="G47:J47"/>
    <mergeCell ref="K47:Y47"/>
    <mergeCell ref="Z47:AN47"/>
    <mergeCell ref="AO47:BC47"/>
    <mergeCell ref="BD47:BT47"/>
    <mergeCell ref="BU47:BY47"/>
    <mergeCell ref="A48:F48"/>
    <mergeCell ref="G48:J48"/>
    <mergeCell ref="K48:Y48"/>
    <mergeCell ref="Z48:AN48"/>
    <mergeCell ref="AO48:BC48"/>
    <mergeCell ref="BD48:BT48"/>
    <mergeCell ref="BU48:BY48"/>
    <mergeCell ref="A49:F49"/>
    <mergeCell ref="G49:J49"/>
    <mergeCell ref="K49:Y49"/>
    <mergeCell ref="Z49:AN49"/>
    <mergeCell ref="AO49:BC49"/>
    <mergeCell ref="BD49:BT49"/>
    <mergeCell ref="BU49:BY49"/>
    <mergeCell ref="A50:F50"/>
    <mergeCell ref="G50:J50"/>
    <mergeCell ref="K50:Y50"/>
    <mergeCell ref="Z50:AN50"/>
    <mergeCell ref="AO50:BC50"/>
    <mergeCell ref="BD50:BT50"/>
    <mergeCell ref="BU50:BY50"/>
    <mergeCell ref="A51:F51"/>
    <mergeCell ref="G51:J51"/>
    <mergeCell ref="K51:Y51"/>
    <mergeCell ref="Z51:AN51"/>
    <mergeCell ref="AO51:BC51"/>
    <mergeCell ref="BD51:BT51"/>
    <mergeCell ref="BU51:BY51"/>
    <mergeCell ref="A52:F52"/>
    <mergeCell ref="G52:J52"/>
    <mergeCell ref="K52:Y52"/>
    <mergeCell ref="Z52:AN52"/>
    <mergeCell ref="AO52:BC52"/>
    <mergeCell ref="BD52:BT52"/>
    <mergeCell ref="BU52:BY52"/>
    <mergeCell ref="A53:F53"/>
    <mergeCell ref="G53:J53"/>
    <mergeCell ref="K53:Y53"/>
    <mergeCell ref="Z53:AN53"/>
    <mergeCell ref="AO53:BC53"/>
    <mergeCell ref="BD53:BT53"/>
    <mergeCell ref="BU53:BY53"/>
    <mergeCell ref="A54:F54"/>
    <mergeCell ref="G54:J54"/>
    <mergeCell ref="K54:Y54"/>
    <mergeCell ref="Z54:AN54"/>
    <mergeCell ref="AO54:BC54"/>
    <mergeCell ref="BD54:BT54"/>
    <mergeCell ref="BU54:BY54"/>
    <mergeCell ref="A55:F55"/>
    <mergeCell ref="G55:J55"/>
    <mergeCell ref="K55:Y55"/>
    <mergeCell ref="Z55:AN55"/>
    <mergeCell ref="AO55:BC55"/>
    <mergeCell ref="BD55:BT55"/>
    <mergeCell ref="BU55:BY55"/>
    <mergeCell ref="A56:F56"/>
    <mergeCell ref="G56:J56"/>
    <mergeCell ref="K56:Y56"/>
    <mergeCell ref="Z56:AN56"/>
    <mergeCell ref="AO56:BC56"/>
    <mergeCell ref="BD56:BT56"/>
    <mergeCell ref="BU56:BY56"/>
    <mergeCell ref="A57:F57"/>
    <mergeCell ref="G57:J57"/>
    <mergeCell ref="K57:Y57"/>
    <mergeCell ref="Z57:AN57"/>
    <mergeCell ref="AO57:BC57"/>
    <mergeCell ref="BD57:BT57"/>
    <mergeCell ref="BU57:BY57"/>
    <mergeCell ref="A58:F58"/>
    <mergeCell ref="G58:J58"/>
    <mergeCell ref="K58:Y58"/>
    <mergeCell ref="Z58:AN58"/>
    <mergeCell ref="AO58:BC58"/>
    <mergeCell ref="BD58:BT58"/>
    <mergeCell ref="BU58:BY58"/>
    <mergeCell ref="A59:F59"/>
    <mergeCell ref="G59:J59"/>
    <mergeCell ref="K59:Y59"/>
    <mergeCell ref="Z59:AN59"/>
    <mergeCell ref="AO59:BC59"/>
    <mergeCell ref="BD59:BT59"/>
    <mergeCell ref="BU59:BY59"/>
  </mergeCells>
  <conditionalFormatting sqref="G6:J13">
    <cfRule type="cellIs" priority="2" operator="equal" aboveAverage="0" equalAverage="0" bottom="0" percent="0" rank="0" text="" dxfId="0">
      <formula>"İMTİNA"</formula>
    </cfRule>
  </conditionalFormatting>
  <conditionalFormatting sqref="G17:J17">
    <cfRule type="cellIs" priority="3" operator="equal" aboveAverage="0" equalAverage="0" bottom="0" percent="0" rank="0" text="" dxfId="0">
      <formula>"İMTİNA"</formula>
    </cfRule>
  </conditionalFormatting>
  <conditionalFormatting sqref="G16:J16">
    <cfRule type="cellIs" priority="4" operator="equal" aboveAverage="0" equalAverage="0" bottom="0" percent="0" rank="0" text="" dxfId="0">
      <formula>"İMTİNA"</formula>
    </cfRule>
  </conditionalFormatting>
  <conditionalFormatting sqref="G42">
    <cfRule type="cellIs" priority="5" operator="equal" aboveAverage="0" equalAverage="0" bottom="0" percent="0" rank="0" text="" dxfId="0">
      <formula>"İMTİNA"</formula>
    </cfRule>
  </conditionalFormatting>
  <conditionalFormatting sqref="G5:J5 G14:J15 G18:J18 G20:J21 G34:J35 G37:J39 G40">
    <cfRule type="cellIs" priority="6" operator="equal" aboveAverage="0" equalAverage="0" bottom="0" percent="0" rank="0" text="" dxfId="0">
      <formula>"İMTİNA"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R34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Z14" activeCellId="0" sqref="Z14"/>
    </sheetView>
  </sheetViews>
  <sheetFormatPr defaultColWidth="2.66796875" defaultRowHeight="14.25" customHeight="true" zeroHeight="false" outlineLevelRow="0" outlineLevelCol="0"/>
  <cols>
    <col collapsed="false" customWidth="false" hidden="false" outlineLevel="0" max="10" min="1" style="1" width="2.67"/>
    <col collapsed="false" customWidth="false" hidden="false" outlineLevel="0" max="25" min="11" style="2" width="2.67"/>
    <col collapsed="false" customWidth="false" hidden="false" outlineLevel="0" max="40" min="26" style="3" width="2.67"/>
    <col collapsed="false" customWidth="true" hidden="false" outlineLevel="0" max="41" min="41" style="3" width="22.67"/>
    <col collapsed="false" customWidth="true" hidden="false" outlineLevel="0" max="42" min="42" style="3" width="19.21"/>
    <col collapsed="false" customWidth="true" hidden="false" outlineLevel="0" max="43" min="43" style="3" width="17.88"/>
    <col collapsed="false" customWidth="false" hidden="false" outlineLevel="0" max="77" min="44" style="3" width="2.67"/>
    <col collapsed="false" customWidth="false" hidden="false" outlineLevel="0" max="85" min="78" style="4" width="2.67"/>
  </cols>
  <sheetData>
    <row r="1" customFormat="false" ht="15" hidden="false" customHeight="true" outlineLevel="0" collapsed="false"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</row>
    <row r="2" customFormat="false" ht="30" hidden="false" customHeight="true" outlineLevel="0" collapsed="false">
      <c r="A2" s="6" t="s">
        <v>195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I2" s="7" t="s">
        <v>0</v>
      </c>
      <c r="CJ2" s="7"/>
      <c r="CK2" s="7"/>
      <c r="CL2" s="7"/>
      <c r="CM2" s="7"/>
      <c r="CN2" s="7"/>
      <c r="CO2" s="7"/>
      <c r="CP2" s="7"/>
      <c r="CR2" s="8" t="s">
        <v>1</v>
      </c>
    </row>
    <row r="3" customFormat="false" ht="75" hidden="false" customHeight="true" outlineLevel="0" collapsed="false">
      <c r="A3" s="9" t="s">
        <v>2</v>
      </c>
      <c r="B3" s="9"/>
      <c r="C3" s="9"/>
      <c r="D3" s="9"/>
      <c r="E3" s="9"/>
      <c r="F3" s="9"/>
      <c r="G3" s="9" t="s">
        <v>3</v>
      </c>
      <c r="H3" s="9"/>
      <c r="I3" s="9"/>
      <c r="J3" s="9"/>
      <c r="K3" s="10" t="s">
        <v>4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 t="s">
        <v>5</v>
      </c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 t="s">
        <v>6</v>
      </c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1" t="s">
        <v>7</v>
      </c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 t="s">
        <v>8</v>
      </c>
      <c r="BV3" s="11"/>
      <c r="BW3" s="11"/>
      <c r="BX3" s="11"/>
      <c r="BY3" s="11"/>
      <c r="BZ3" s="9" t="s">
        <v>9</v>
      </c>
      <c r="CA3" s="9"/>
      <c r="CB3" s="9"/>
      <c r="CC3" s="9"/>
      <c r="CD3" s="9"/>
      <c r="CE3" s="9"/>
      <c r="CF3" s="9"/>
      <c r="CG3" s="9"/>
    </row>
    <row r="4" s="29" customFormat="true" ht="20.25" hidden="false" customHeight="true" outlineLevel="0" collapsed="false">
      <c r="A4" s="28" t="s">
        <v>196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44" t="s">
        <v>11</v>
      </c>
      <c r="AP4" s="45" t="s">
        <v>12</v>
      </c>
      <c r="AQ4" s="45" t="s">
        <v>13</v>
      </c>
      <c r="AR4" s="45"/>
      <c r="AS4" s="45"/>
      <c r="AT4" s="45"/>
      <c r="AU4" s="35"/>
      <c r="AV4" s="35"/>
      <c r="AW4" s="35"/>
      <c r="AX4" s="35"/>
      <c r="AY4" s="35"/>
      <c r="AZ4" s="35"/>
      <c r="BA4" s="35"/>
      <c r="BB4" s="35"/>
      <c r="BC4" s="35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</row>
    <row r="5" customFormat="false" ht="57" hidden="false" customHeight="true" outlineLevel="0" collapsed="false">
      <c r="A5" s="17" t="s">
        <v>14</v>
      </c>
      <c r="B5" s="17"/>
      <c r="C5" s="17"/>
      <c r="D5" s="17"/>
      <c r="E5" s="17"/>
      <c r="F5" s="17"/>
      <c r="G5" s="18" t="s">
        <v>15</v>
      </c>
      <c r="H5" s="18"/>
      <c r="I5" s="18"/>
      <c r="J5" s="18"/>
      <c r="K5" s="19" t="s">
        <v>16</v>
      </c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20" t="s">
        <v>17</v>
      </c>
      <c r="AP5" s="20" t="s">
        <v>18</v>
      </c>
      <c r="AQ5" s="21" t="s">
        <v>19</v>
      </c>
      <c r="AR5" s="21"/>
      <c r="AS5" s="21"/>
      <c r="AT5" s="21"/>
      <c r="AU5" s="21" t="s">
        <v>20</v>
      </c>
      <c r="AV5" s="21"/>
      <c r="AW5" s="21"/>
      <c r="AX5" s="21"/>
      <c r="AY5" s="21"/>
      <c r="AZ5" s="21"/>
      <c r="BA5" s="21"/>
      <c r="BB5" s="21"/>
      <c r="BC5" s="21"/>
      <c r="BD5" s="22" t="s">
        <v>21</v>
      </c>
      <c r="BE5" s="22"/>
      <c r="BF5" s="22"/>
      <c r="BG5" s="23" t="str">
        <f aca="false">IFERROR(VLOOKUP('Cash ABC+ACZ'!BD5,Lookups111!A$4:B$38,2,FALSE()),"")</f>
        <v>Qara siyahı</v>
      </c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19"/>
      <c r="BV5" s="19"/>
      <c r="BW5" s="19"/>
      <c r="BX5" s="19"/>
      <c r="BY5" s="19"/>
      <c r="BZ5" s="24" t="n">
        <v>1</v>
      </c>
      <c r="CA5" s="24"/>
      <c r="CB5" s="24"/>
      <c r="CC5" s="24"/>
      <c r="CD5" s="24"/>
      <c r="CE5" s="24"/>
      <c r="CF5" s="24"/>
      <c r="CG5" s="24"/>
    </row>
    <row r="6" customFormat="false" ht="57" hidden="false" customHeight="true" outlineLevel="0" collapsed="false">
      <c r="A6" s="17" t="s">
        <v>22</v>
      </c>
      <c r="B6" s="17"/>
      <c r="C6" s="17"/>
      <c r="D6" s="17"/>
      <c r="E6" s="17"/>
      <c r="F6" s="17"/>
      <c r="G6" s="18" t="s">
        <v>15</v>
      </c>
      <c r="H6" s="18"/>
      <c r="I6" s="18"/>
      <c r="J6" s="18"/>
      <c r="K6" s="19" t="s">
        <v>23</v>
      </c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20" t="s">
        <v>17</v>
      </c>
      <c r="AP6" s="20" t="s">
        <v>18</v>
      </c>
      <c r="AQ6" s="21" t="s">
        <v>19</v>
      </c>
      <c r="AR6" s="21"/>
      <c r="AS6" s="21"/>
      <c r="AT6" s="21"/>
      <c r="AU6" s="21" t="s">
        <v>24</v>
      </c>
      <c r="AV6" s="21"/>
      <c r="AW6" s="21"/>
      <c r="AX6" s="21"/>
      <c r="AY6" s="21"/>
      <c r="AZ6" s="21"/>
      <c r="BA6" s="21"/>
      <c r="BB6" s="21"/>
      <c r="BC6" s="21"/>
      <c r="BD6" s="22" t="s">
        <v>25</v>
      </c>
      <c r="BE6" s="22"/>
      <c r="BF6" s="22"/>
      <c r="BG6" s="23" t="str">
        <f aca="false">IFERROR(VLOOKUP('Cash ABC+ACZ'!BD6,Lookups111!A$4:B$38,2,FALSE()),"")</f>
        <v>Gəliri kifayət etmir</v>
      </c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5" t="n">
        <v>15</v>
      </c>
      <c r="BV6" s="25"/>
      <c r="BW6" s="25"/>
      <c r="BX6" s="25"/>
      <c r="BY6" s="25"/>
      <c r="BZ6" s="24" t="n">
        <v>2</v>
      </c>
      <c r="CA6" s="24"/>
      <c r="CB6" s="24"/>
      <c r="CC6" s="24"/>
      <c r="CD6" s="24"/>
      <c r="CE6" s="24"/>
      <c r="CF6" s="24"/>
      <c r="CG6" s="24"/>
    </row>
    <row r="7" customFormat="false" ht="57" hidden="false" customHeight="true" outlineLevel="0" collapsed="false">
      <c r="A7" s="17" t="s">
        <v>26</v>
      </c>
      <c r="B7" s="17"/>
      <c r="C7" s="17"/>
      <c r="D7" s="17"/>
      <c r="E7" s="17"/>
      <c r="F7" s="17"/>
      <c r="G7" s="18" t="s">
        <v>15</v>
      </c>
      <c r="H7" s="18"/>
      <c r="I7" s="18"/>
      <c r="J7" s="18"/>
      <c r="K7" s="26" t="s">
        <v>27</v>
      </c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0" t="s">
        <v>17</v>
      </c>
      <c r="AP7" s="20" t="s">
        <v>18</v>
      </c>
      <c r="AQ7" s="21" t="s">
        <v>19</v>
      </c>
      <c r="AR7" s="21"/>
      <c r="AS7" s="21"/>
      <c r="AT7" s="21"/>
      <c r="AU7" s="21" t="s">
        <v>28</v>
      </c>
      <c r="AV7" s="21"/>
      <c r="AW7" s="21"/>
      <c r="AX7" s="21"/>
      <c r="AY7" s="21"/>
      <c r="AZ7" s="21"/>
      <c r="BA7" s="21"/>
      <c r="BB7" s="21"/>
      <c r="BC7" s="21"/>
      <c r="BD7" s="22" t="s">
        <v>29</v>
      </c>
      <c r="BE7" s="22"/>
      <c r="BF7" s="22"/>
      <c r="BG7" s="23" t="str">
        <f aca="false">IFERROR(VLOOKUP('Cash ABC+ACZ'!BD7,Lookups111!A$4:B$38,2,FALSE()),"")</f>
        <v>Mənfi kredit tarixçəsi</v>
      </c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7" t="n">
        <v>90</v>
      </c>
      <c r="BV7" s="27"/>
      <c r="BW7" s="27"/>
      <c r="BX7" s="27"/>
      <c r="BY7" s="27"/>
      <c r="BZ7" s="24" t="n">
        <v>3</v>
      </c>
      <c r="CA7" s="24"/>
      <c r="CB7" s="24"/>
      <c r="CC7" s="24"/>
      <c r="CD7" s="24"/>
      <c r="CE7" s="24"/>
      <c r="CF7" s="24"/>
      <c r="CG7" s="24"/>
    </row>
    <row r="8" customFormat="false" ht="57" hidden="false" customHeight="true" outlineLevel="0" collapsed="false">
      <c r="A8" s="17" t="s">
        <v>30</v>
      </c>
      <c r="B8" s="17"/>
      <c r="C8" s="17"/>
      <c r="D8" s="17"/>
      <c r="E8" s="17"/>
      <c r="F8" s="17"/>
      <c r="G8" s="18" t="s">
        <v>15</v>
      </c>
      <c r="H8" s="18"/>
      <c r="I8" s="18"/>
      <c r="J8" s="18"/>
      <c r="K8" s="26" t="s">
        <v>31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0" t="s">
        <v>17</v>
      </c>
      <c r="AP8" s="20" t="s">
        <v>18</v>
      </c>
      <c r="AQ8" s="21" t="s">
        <v>19</v>
      </c>
      <c r="AR8" s="21"/>
      <c r="AS8" s="21"/>
      <c r="AT8" s="21"/>
      <c r="AU8" s="21" t="s">
        <v>32</v>
      </c>
      <c r="AV8" s="21"/>
      <c r="AW8" s="21"/>
      <c r="AX8" s="21"/>
      <c r="AY8" s="21"/>
      <c r="AZ8" s="21"/>
      <c r="BA8" s="21"/>
      <c r="BB8" s="21"/>
      <c r="BC8" s="21"/>
      <c r="BD8" s="22" t="s">
        <v>33</v>
      </c>
      <c r="BE8" s="22"/>
      <c r="BF8" s="22"/>
      <c r="BG8" s="23" t="str">
        <f aca="false">IFERROR(VLOOKUP('Cash ABC+ACZ'!BD8,Lookups111!A$4:B$38,2,FALSE()),"")</f>
        <v>Ailə üzvlərinin mənfi tarixçəsi</v>
      </c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7" t="n">
        <v>15</v>
      </c>
      <c r="BV8" s="27"/>
      <c r="BW8" s="27"/>
      <c r="BX8" s="27"/>
      <c r="BY8" s="27"/>
      <c r="BZ8" s="24" t="n">
        <v>4</v>
      </c>
      <c r="CA8" s="24"/>
      <c r="CB8" s="24"/>
      <c r="CC8" s="24"/>
      <c r="CD8" s="24"/>
      <c r="CE8" s="24"/>
      <c r="CF8" s="24"/>
      <c r="CG8" s="24"/>
    </row>
    <row r="9" customFormat="false" ht="57" hidden="false" customHeight="true" outlineLevel="0" collapsed="false">
      <c r="A9" s="17" t="s">
        <v>34</v>
      </c>
      <c r="B9" s="17"/>
      <c r="C9" s="17"/>
      <c r="D9" s="17"/>
      <c r="E9" s="17"/>
      <c r="F9" s="17"/>
      <c r="G9" s="18" t="s">
        <v>15</v>
      </c>
      <c r="H9" s="18"/>
      <c r="I9" s="18"/>
      <c r="J9" s="18"/>
      <c r="K9" s="26" t="s">
        <v>35</v>
      </c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0" t="s">
        <v>17</v>
      </c>
      <c r="AP9" s="20" t="s">
        <v>18</v>
      </c>
      <c r="AQ9" s="21" t="s">
        <v>19</v>
      </c>
      <c r="AR9" s="21"/>
      <c r="AS9" s="21"/>
      <c r="AT9" s="21"/>
      <c r="AU9" s="21" t="s">
        <v>36</v>
      </c>
      <c r="AV9" s="21"/>
      <c r="AW9" s="21"/>
      <c r="AX9" s="21"/>
      <c r="AY9" s="21"/>
      <c r="AZ9" s="21"/>
      <c r="BA9" s="21"/>
      <c r="BB9" s="21"/>
      <c r="BC9" s="21"/>
      <c r="BD9" s="22" t="s">
        <v>37</v>
      </c>
      <c r="BE9" s="22"/>
      <c r="BF9" s="22"/>
      <c r="BG9" s="23" t="str">
        <f aca="false">IFERROR(VLOOKUP('Cash ABC+ACZ'!BD9,Lookups111!A$4:B$38,2,FALSE()),"")</f>
        <v>Yalan məlumat</v>
      </c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7" t="n">
        <v>15</v>
      </c>
      <c r="BV9" s="27"/>
      <c r="BW9" s="27"/>
      <c r="BX9" s="27"/>
      <c r="BY9" s="27"/>
      <c r="BZ9" s="24" t="n">
        <v>5</v>
      </c>
      <c r="CA9" s="24"/>
      <c r="CB9" s="24"/>
      <c r="CC9" s="24"/>
      <c r="CD9" s="24"/>
      <c r="CE9" s="24"/>
      <c r="CF9" s="24"/>
      <c r="CG9" s="24"/>
    </row>
    <row r="10" customFormat="false" ht="57" hidden="false" customHeight="true" outlineLevel="0" collapsed="false">
      <c r="A10" s="17" t="s">
        <v>38</v>
      </c>
      <c r="B10" s="17"/>
      <c r="C10" s="17"/>
      <c r="D10" s="17"/>
      <c r="E10" s="17"/>
      <c r="F10" s="17"/>
      <c r="G10" s="18" t="s">
        <v>15</v>
      </c>
      <c r="H10" s="18"/>
      <c r="I10" s="18"/>
      <c r="J10" s="18"/>
      <c r="K10" s="26" t="s">
        <v>39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0" t="s">
        <v>17</v>
      </c>
      <c r="AP10" s="20" t="s">
        <v>18</v>
      </c>
      <c r="AQ10" s="21" t="s">
        <v>19</v>
      </c>
      <c r="AR10" s="21"/>
      <c r="AS10" s="21"/>
      <c r="AT10" s="21"/>
      <c r="AU10" s="21" t="s">
        <v>40</v>
      </c>
      <c r="AV10" s="21"/>
      <c r="AW10" s="21"/>
      <c r="AX10" s="21"/>
      <c r="AY10" s="21"/>
      <c r="AZ10" s="21"/>
      <c r="BA10" s="21"/>
      <c r="BB10" s="21"/>
      <c r="BC10" s="21"/>
      <c r="BD10" s="22" t="s">
        <v>41</v>
      </c>
      <c r="BE10" s="22"/>
      <c r="BF10" s="22"/>
      <c r="BG10" s="23" t="str">
        <f aca="false">IFERROR(VLOOKUP('Cash ABC+ACZ'!BD10,Lookups111!A$4:B$38,2,FALSE()),"")</f>
        <v>Borc yüklülüyü çoxdur</v>
      </c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7" t="n">
        <v>3</v>
      </c>
      <c r="BV10" s="27"/>
      <c r="BW10" s="27"/>
      <c r="BX10" s="27"/>
      <c r="BY10" s="27"/>
      <c r="BZ10" s="24" t="n">
        <v>6</v>
      </c>
      <c r="CA10" s="24"/>
      <c r="CB10" s="24"/>
      <c r="CC10" s="24"/>
      <c r="CD10" s="24"/>
      <c r="CE10" s="24"/>
      <c r="CF10" s="24"/>
      <c r="CG10" s="24"/>
    </row>
    <row r="11" customFormat="false" ht="57" hidden="false" customHeight="true" outlineLevel="0" collapsed="false">
      <c r="A11" s="17" t="s">
        <v>42</v>
      </c>
      <c r="B11" s="17"/>
      <c r="C11" s="17"/>
      <c r="D11" s="17"/>
      <c r="E11" s="17"/>
      <c r="F11" s="17"/>
      <c r="G11" s="18" t="s">
        <v>15</v>
      </c>
      <c r="H11" s="18"/>
      <c r="I11" s="18"/>
      <c r="J11" s="18"/>
      <c r="K11" s="26" t="s">
        <v>43</v>
      </c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0" t="s">
        <v>17</v>
      </c>
      <c r="AP11" s="20" t="s">
        <v>18</v>
      </c>
      <c r="AQ11" s="21" t="s">
        <v>19</v>
      </c>
      <c r="AR11" s="21"/>
      <c r="AS11" s="21"/>
      <c r="AT11" s="21"/>
      <c r="AU11" s="21" t="s">
        <v>44</v>
      </c>
      <c r="AV11" s="21"/>
      <c r="AW11" s="21"/>
      <c r="AX11" s="21"/>
      <c r="AY11" s="21"/>
      <c r="AZ11" s="21"/>
      <c r="BA11" s="21"/>
      <c r="BB11" s="21"/>
      <c r="BC11" s="21"/>
      <c r="BD11" s="22" t="s">
        <v>45</v>
      </c>
      <c r="BE11" s="22"/>
      <c r="BF11" s="22"/>
      <c r="BG11" s="23" t="str">
        <f aca="false">IFERROR(VLOOKUP('Cash ABC+ACZ'!BD11,Lookups111!A$4:B$38,2,FALSE()),"")</f>
        <v>Əmək stajı azdır</v>
      </c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7" t="n">
        <v>3</v>
      </c>
      <c r="BV11" s="27"/>
      <c r="BW11" s="27"/>
      <c r="BX11" s="27"/>
      <c r="BY11" s="27"/>
      <c r="BZ11" s="24" t="n">
        <v>7</v>
      </c>
      <c r="CA11" s="24"/>
      <c r="CB11" s="24"/>
      <c r="CC11" s="24"/>
      <c r="CD11" s="24"/>
      <c r="CE11" s="24"/>
      <c r="CF11" s="24"/>
      <c r="CG11" s="24"/>
    </row>
    <row r="12" customFormat="false" ht="57" hidden="false" customHeight="true" outlineLevel="0" collapsed="false">
      <c r="A12" s="17" t="s">
        <v>46</v>
      </c>
      <c r="B12" s="17"/>
      <c r="C12" s="17"/>
      <c r="D12" s="17"/>
      <c r="E12" s="17"/>
      <c r="F12" s="17"/>
      <c r="G12" s="18" t="s">
        <v>15</v>
      </c>
      <c r="H12" s="18"/>
      <c r="I12" s="18"/>
      <c r="J12" s="18"/>
      <c r="K12" s="26" t="s">
        <v>47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0" t="s">
        <v>17</v>
      </c>
      <c r="AP12" s="20" t="s">
        <v>18</v>
      </c>
      <c r="AQ12" s="21" t="s">
        <v>19</v>
      </c>
      <c r="AR12" s="21"/>
      <c r="AS12" s="21"/>
      <c r="AT12" s="21"/>
      <c r="AU12" s="21" t="s">
        <v>48</v>
      </c>
      <c r="AV12" s="21"/>
      <c r="AW12" s="21"/>
      <c r="AX12" s="21"/>
      <c r="AY12" s="21"/>
      <c r="AZ12" s="21"/>
      <c r="BA12" s="21"/>
      <c r="BB12" s="21"/>
      <c r="BC12" s="21"/>
      <c r="BD12" s="22" t="s">
        <v>49</v>
      </c>
      <c r="BE12" s="22"/>
      <c r="BF12" s="22"/>
      <c r="BG12" s="23" t="str">
        <f aca="false">IFERROR(VLOOKUP('Cash ABC+ACZ'!BD12,Lookups111!A$4:B$38,2,FALSE()),"")</f>
        <v>Kobud rəftar</v>
      </c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7" t="n">
        <v>3</v>
      </c>
      <c r="BV12" s="27"/>
      <c r="BW12" s="27"/>
      <c r="BX12" s="27"/>
      <c r="BY12" s="27"/>
      <c r="BZ12" s="24" t="n">
        <v>8</v>
      </c>
      <c r="CA12" s="24"/>
      <c r="CB12" s="24"/>
      <c r="CC12" s="24"/>
      <c r="CD12" s="24"/>
      <c r="CE12" s="24"/>
      <c r="CF12" s="24"/>
      <c r="CG12" s="24"/>
    </row>
    <row r="13" customFormat="false" ht="57" hidden="false" customHeight="true" outlineLevel="0" collapsed="false">
      <c r="A13" s="17" t="s">
        <v>50</v>
      </c>
      <c r="B13" s="17"/>
      <c r="C13" s="17"/>
      <c r="D13" s="17"/>
      <c r="E13" s="17"/>
      <c r="F13" s="17"/>
      <c r="G13" s="18" t="s">
        <v>15</v>
      </c>
      <c r="H13" s="18"/>
      <c r="I13" s="18"/>
      <c r="J13" s="18"/>
      <c r="K13" s="19" t="s">
        <v>51</v>
      </c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0" t="s">
        <v>17</v>
      </c>
      <c r="AP13" s="20" t="s">
        <v>18</v>
      </c>
      <c r="AQ13" s="21" t="s">
        <v>19</v>
      </c>
      <c r="AR13" s="21"/>
      <c r="AS13" s="21"/>
      <c r="AT13" s="21"/>
      <c r="AU13" s="21" t="s">
        <v>52</v>
      </c>
      <c r="AV13" s="21"/>
      <c r="AW13" s="21"/>
      <c r="AX13" s="21"/>
      <c r="AY13" s="21"/>
      <c r="AZ13" s="21"/>
      <c r="BA13" s="21"/>
      <c r="BB13" s="21"/>
      <c r="BC13" s="21"/>
      <c r="BD13" s="22" t="s">
        <v>53</v>
      </c>
      <c r="BE13" s="22"/>
      <c r="BF13" s="22"/>
      <c r="BG13" s="23" t="str">
        <f aca="false">IFERROR(VLOOKUP('Cash ABC+ACZ'!BD13,Lookups111!A$4:B$38,2,FALSE()),"")</f>
        <v>Aktiv nağd kredit &lt; 50%</v>
      </c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6"/>
      <c r="BV13" s="26"/>
      <c r="BW13" s="26"/>
      <c r="BX13" s="26"/>
      <c r="BY13" s="26"/>
      <c r="BZ13" s="24" t="n">
        <v>9</v>
      </c>
      <c r="CA13" s="24"/>
      <c r="CB13" s="24"/>
      <c r="CC13" s="24"/>
      <c r="CD13" s="24"/>
      <c r="CE13" s="24"/>
      <c r="CF13" s="24"/>
      <c r="CG13" s="24"/>
    </row>
    <row r="14" customFormat="false" ht="57" hidden="false" customHeight="true" outlineLevel="0" collapsed="false">
      <c r="A14" s="17" t="s">
        <v>54</v>
      </c>
      <c r="B14" s="17"/>
      <c r="C14" s="17"/>
      <c r="D14" s="17"/>
      <c r="E14" s="17"/>
      <c r="F14" s="17"/>
      <c r="G14" s="18" t="s">
        <v>15</v>
      </c>
      <c r="H14" s="18"/>
      <c r="I14" s="18"/>
      <c r="J14" s="18"/>
      <c r="K14" s="19" t="s">
        <v>55</v>
      </c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0" t="s">
        <v>17</v>
      </c>
      <c r="AP14" s="20" t="s">
        <v>18</v>
      </c>
      <c r="AQ14" s="21" t="s">
        <v>19</v>
      </c>
      <c r="AR14" s="21"/>
      <c r="AS14" s="21"/>
      <c r="AT14" s="21"/>
      <c r="AU14" s="21" t="s">
        <v>56</v>
      </c>
      <c r="AV14" s="21"/>
      <c r="AW14" s="21"/>
      <c r="AX14" s="21"/>
      <c r="AY14" s="21"/>
      <c r="AZ14" s="21"/>
      <c r="BA14" s="21"/>
      <c r="BB14" s="21"/>
      <c r="BC14" s="21"/>
      <c r="BD14" s="22" t="s">
        <v>57</v>
      </c>
      <c r="BE14" s="22"/>
      <c r="BF14" s="22"/>
      <c r="BG14" s="23" t="str">
        <f aca="false">IFERROR(VLOOKUP('Cash ABC+ACZ'!BD14,Lookups111!A$4:B$38,2,FALSE()),"")</f>
        <v>Aktiv OnePoint krediti</v>
      </c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6"/>
      <c r="BV14" s="26"/>
      <c r="BW14" s="26"/>
      <c r="BX14" s="26"/>
      <c r="BY14" s="26"/>
      <c r="BZ14" s="24" t="n">
        <v>10</v>
      </c>
      <c r="CA14" s="24"/>
      <c r="CB14" s="24"/>
      <c r="CC14" s="24"/>
      <c r="CD14" s="24"/>
      <c r="CE14" s="24"/>
      <c r="CF14" s="24"/>
      <c r="CG14" s="24"/>
    </row>
    <row r="15" customFormat="false" ht="57" hidden="false" customHeight="true" outlineLevel="0" collapsed="false">
      <c r="A15" s="17" t="s">
        <v>58</v>
      </c>
      <c r="B15" s="17"/>
      <c r="C15" s="17"/>
      <c r="D15" s="17"/>
      <c r="E15" s="17"/>
      <c r="F15" s="17"/>
      <c r="G15" s="18" t="s">
        <v>15</v>
      </c>
      <c r="H15" s="18"/>
      <c r="I15" s="18"/>
      <c r="J15" s="18"/>
      <c r="K15" s="26" t="s">
        <v>59</v>
      </c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0" t="s">
        <v>17</v>
      </c>
      <c r="AP15" s="20" t="s">
        <v>18</v>
      </c>
      <c r="AQ15" s="21" t="s">
        <v>19</v>
      </c>
      <c r="AR15" s="21"/>
      <c r="AS15" s="21"/>
      <c r="AT15" s="21"/>
      <c r="AU15" s="21" t="s">
        <v>60</v>
      </c>
      <c r="AV15" s="21"/>
      <c r="AW15" s="21"/>
      <c r="AX15" s="21"/>
      <c r="AY15" s="21"/>
      <c r="AZ15" s="21"/>
      <c r="BA15" s="21"/>
      <c r="BB15" s="21"/>
      <c r="BC15" s="21"/>
      <c r="BD15" s="22" t="s">
        <v>61</v>
      </c>
      <c r="BE15" s="22"/>
      <c r="BF15" s="22"/>
      <c r="BG15" s="23" t="str">
        <f aca="false">IFERROR(VLOOKUP('Cash ABC+ACZ'!BD15,Lookups111!A$4:B$38,2,FALSE()),"")</f>
        <v>Cari gecikma</v>
      </c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6"/>
      <c r="BV15" s="26"/>
      <c r="BW15" s="26"/>
      <c r="BX15" s="26"/>
      <c r="BY15" s="26"/>
      <c r="BZ15" s="24" t="n">
        <v>11</v>
      </c>
      <c r="CA15" s="24"/>
      <c r="CB15" s="24"/>
      <c r="CC15" s="24"/>
      <c r="CD15" s="24"/>
      <c r="CE15" s="24"/>
      <c r="CF15" s="24"/>
      <c r="CG15" s="24"/>
    </row>
    <row r="16" s="29" customFormat="true" ht="20.25" hidden="false" customHeight="true" outlineLevel="0" collapsed="false">
      <c r="A16" s="28" t="s">
        <v>62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</row>
    <row r="17" customFormat="false" ht="15" hidden="false" customHeight="true" outlineLevel="0" collapsed="false">
      <c r="A17" s="18" t="s">
        <v>63</v>
      </c>
      <c r="B17" s="18"/>
      <c r="C17" s="18"/>
      <c r="D17" s="18"/>
      <c r="E17" s="18"/>
      <c r="F17" s="18"/>
      <c r="G17" s="18" t="s">
        <v>15</v>
      </c>
      <c r="H17" s="18"/>
      <c r="I17" s="18"/>
      <c r="J17" s="18"/>
      <c r="K17" s="23" t="s">
        <v>64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 t="s">
        <v>65</v>
      </c>
      <c r="AA17" s="23"/>
      <c r="AB17" s="23"/>
      <c r="AC17" s="23"/>
      <c r="AD17" s="23"/>
      <c r="AE17" s="23"/>
      <c r="AF17" s="23"/>
      <c r="AG17" s="23"/>
      <c r="AH17" s="23"/>
      <c r="AI17" s="30" t="n">
        <v>20</v>
      </c>
      <c r="AJ17" s="30"/>
      <c r="AK17" s="30"/>
      <c r="AL17" s="30"/>
      <c r="AM17" s="30"/>
      <c r="AN17" s="30"/>
      <c r="AO17" s="20" t="s">
        <v>66</v>
      </c>
      <c r="AP17" s="20" t="s">
        <v>18</v>
      </c>
      <c r="AQ17" s="21" t="s">
        <v>19</v>
      </c>
      <c r="AR17" s="21"/>
      <c r="AS17" s="21"/>
      <c r="AT17" s="21"/>
      <c r="AU17" s="21" t="s">
        <v>64</v>
      </c>
      <c r="AV17" s="21"/>
      <c r="AW17" s="21"/>
      <c r="AX17" s="21"/>
      <c r="AY17" s="21"/>
      <c r="AZ17" s="21"/>
      <c r="BA17" s="21"/>
      <c r="BB17" s="21"/>
      <c r="BC17" s="21"/>
      <c r="BD17" s="22" t="s">
        <v>67</v>
      </c>
      <c r="BE17" s="22"/>
      <c r="BF17" s="22"/>
      <c r="BG17" s="23" t="str">
        <f aca="false">IFERROR(VLOOKUP(BD17,Lookups111!A$4:B$38,2,FALSE()),"")</f>
        <v>Yaş həddi</v>
      </c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31"/>
      <c r="BV17" s="31"/>
      <c r="BW17" s="31"/>
      <c r="BX17" s="31"/>
      <c r="BY17" s="31"/>
      <c r="BZ17" s="32" t="n">
        <v>1</v>
      </c>
      <c r="CA17" s="32"/>
      <c r="CB17" s="32"/>
      <c r="CC17" s="32"/>
      <c r="CD17" s="32"/>
      <c r="CE17" s="32"/>
      <c r="CF17" s="32"/>
      <c r="CG17" s="32"/>
    </row>
    <row r="18" customFormat="false" ht="39" hidden="false" customHeight="true" outlineLevel="0" collapsed="false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 t="s">
        <v>68</v>
      </c>
      <c r="AA18" s="23"/>
      <c r="AB18" s="23"/>
      <c r="AC18" s="23"/>
      <c r="AD18" s="23"/>
      <c r="AE18" s="23"/>
      <c r="AF18" s="23"/>
      <c r="AG18" s="23"/>
      <c r="AH18" s="23"/>
      <c r="AI18" s="30" t="n">
        <v>65</v>
      </c>
      <c r="AJ18" s="30"/>
      <c r="AK18" s="30"/>
      <c r="AL18" s="30"/>
      <c r="AM18" s="30"/>
      <c r="AN18" s="30"/>
      <c r="AO18" s="20"/>
      <c r="AP18" s="20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2"/>
      <c r="BE18" s="22"/>
      <c r="BF18" s="22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31"/>
      <c r="BV18" s="31"/>
      <c r="BW18" s="31"/>
      <c r="BX18" s="31"/>
      <c r="BY18" s="31"/>
      <c r="BZ18" s="32"/>
      <c r="CA18" s="32"/>
      <c r="CB18" s="32"/>
      <c r="CC18" s="32"/>
      <c r="CD18" s="32"/>
      <c r="CE18" s="32"/>
      <c r="CF18" s="32"/>
      <c r="CG18" s="32"/>
    </row>
    <row r="19" s="29" customFormat="true" ht="20.25" hidden="false" customHeight="true" outlineLevel="0" collapsed="false">
      <c r="A19" s="28" t="s">
        <v>69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73" t="s">
        <v>11</v>
      </c>
      <c r="AP19" s="74" t="s">
        <v>12</v>
      </c>
      <c r="AQ19" s="74" t="s">
        <v>13</v>
      </c>
      <c r="AR19" s="74"/>
      <c r="AS19" s="74"/>
      <c r="AT19" s="74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</row>
    <row r="20" customFormat="false" ht="54" hidden="false" customHeight="true" outlineLevel="0" collapsed="false">
      <c r="A20" s="20" t="s">
        <v>70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 t="s">
        <v>75</v>
      </c>
      <c r="AP20" s="20" t="s">
        <v>66</v>
      </c>
      <c r="AQ20" s="37" t="s">
        <v>197</v>
      </c>
      <c r="AR20" s="38"/>
      <c r="AS20" s="38"/>
      <c r="AT20" s="38"/>
      <c r="AU20" s="37"/>
      <c r="AV20" s="38"/>
      <c r="AW20" s="38"/>
      <c r="AX20" s="38"/>
      <c r="AY20" s="38"/>
      <c r="AZ20" s="38"/>
      <c r="BA20" s="38"/>
      <c r="BB20" s="38"/>
      <c r="BC20" s="39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36"/>
      <c r="CG20" s="36"/>
    </row>
    <row r="21" customFormat="false" ht="54" hidden="false" customHeight="true" outlineLevel="0" collapsed="false">
      <c r="A21" s="20" t="s">
        <v>72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 t="s">
        <v>75</v>
      </c>
      <c r="AP21" s="20" t="s">
        <v>66</v>
      </c>
      <c r="AQ21" s="37" t="s">
        <v>198</v>
      </c>
      <c r="AR21" s="38"/>
      <c r="AS21" s="38"/>
      <c r="AT21" s="38"/>
      <c r="AU21" s="37"/>
      <c r="AV21" s="38"/>
      <c r="AW21" s="38"/>
      <c r="AX21" s="38"/>
      <c r="AY21" s="38"/>
      <c r="AZ21" s="38"/>
      <c r="BA21" s="38"/>
      <c r="BB21" s="38"/>
      <c r="BC21" s="39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6"/>
    </row>
    <row r="22" customFormat="false" ht="54" hidden="false" customHeight="true" outlineLevel="0" collapsed="false">
      <c r="A22" s="20" t="s">
        <v>73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 t="s">
        <v>75</v>
      </c>
      <c r="AP22" s="20" t="s">
        <v>66</v>
      </c>
      <c r="AQ22" s="37" t="s">
        <v>199</v>
      </c>
      <c r="AR22" s="38"/>
      <c r="AS22" s="38"/>
      <c r="AT22" s="38"/>
      <c r="AU22" s="37"/>
      <c r="AV22" s="38"/>
      <c r="AW22" s="38"/>
      <c r="AX22" s="38"/>
      <c r="AY22" s="38"/>
      <c r="AZ22" s="38"/>
      <c r="BA22" s="38"/>
      <c r="BB22" s="38"/>
      <c r="BC22" s="39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</row>
    <row r="23" customFormat="false" ht="54" hidden="false" customHeight="true" outlineLevel="0" collapsed="false">
      <c r="A23" s="20" t="s">
        <v>74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 t="s">
        <v>75</v>
      </c>
      <c r="AP23" s="20" t="s">
        <v>66</v>
      </c>
      <c r="AQ23" s="37" t="s">
        <v>76</v>
      </c>
      <c r="AR23" s="38"/>
      <c r="AS23" s="38"/>
      <c r="AT23" s="38"/>
      <c r="AU23" s="37"/>
      <c r="AV23" s="38"/>
      <c r="AW23" s="38"/>
      <c r="AX23" s="38"/>
      <c r="AY23" s="38"/>
      <c r="AZ23" s="38"/>
      <c r="BA23" s="38"/>
      <c r="BB23" s="38"/>
      <c r="BC23" s="39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  <c r="BS23" s="36"/>
      <c r="BT23" s="36"/>
      <c r="BU23" s="36"/>
      <c r="BV23" s="36"/>
      <c r="BW23" s="36"/>
      <c r="BX23" s="36"/>
      <c r="BY23" s="36"/>
      <c r="BZ23" s="36"/>
      <c r="CA23" s="36"/>
      <c r="CB23" s="36"/>
      <c r="CC23" s="36"/>
      <c r="CD23" s="36"/>
      <c r="CE23" s="36"/>
      <c r="CF23" s="36"/>
      <c r="CG23" s="36"/>
    </row>
    <row r="24" customFormat="false" ht="54" hidden="false" customHeight="true" outlineLevel="0" collapsed="false">
      <c r="A24" s="20" t="s">
        <v>77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 t="s">
        <v>75</v>
      </c>
      <c r="AP24" s="20" t="s">
        <v>66</v>
      </c>
      <c r="AQ24" s="37" t="s">
        <v>78</v>
      </c>
      <c r="AR24" s="38"/>
      <c r="AS24" s="38"/>
      <c r="AT24" s="38"/>
      <c r="AU24" s="37"/>
      <c r="AV24" s="38"/>
      <c r="AW24" s="38"/>
      <c r="AX24" s="38"/>
      <c r="AY24" s="38"/>
      <c r="AZ24" s="38"/>
      <c r="BA24" s="38"/>
      <c r="BB24" s="38"/>
      <c r="BC24" s="39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  <c r="BP24" s="36"/>
      <c r="BQ24" s="36"/>
      <c r="BR24" s="36"/>
      <c r="BS24" s="36"/>
      <c r="BT24" s="36"/>
      <c r="BU24" s="36"/>
      <c r="BV24" s="36"/>
      <c r="BW24" s="36"/>
      <c r="BX24" s="36"/>
      <c r="BY24" s="36"/>
      <c r="BZ24" s="36"/>
      <c r="CA24" s="36"/>
      <c r="CB24" s="36"/>
      <c r="CC24" s="36"/>
      <c r="CD24" s="36"/>
      <c r="CE24" s="36"/>
      <c r="CF24" s="36"/>
      <c r="CG24" s="36"/>
    </row>
    <row r="25" customFormat="false" ht="54" hidden="false" customHeight="true" outlineLevel="0" collapsed="false">
      <c r="A25" s="20" t="s">
        <v>79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 t="s">
        <v>75</v>
      </c>
      <c r="AP25" s="20" t="s">
        <v>66</v>
      </c>
      <c r="AQ25" s="37" t="s">
        <v>80</v>
      </c>
      <c r="AR25" s="38"/>
      <c r="AS25" s="38"/>
      <c r="AT25" s="38"/>
      <c r="AU25" s="37"/>
      <c r="AV25" s="38"/>
      <c r="AW25" s="38"/>
      <c r="AX25" s="38"/>
      <c r="AY25" s="38"/>
      <c r="AZ25" s="38"/>
      <c r="BA25" s="38"/>
      <c r="BB25" s="38"/>
      <c r="BC25" s="39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</row>
    <row r="26" customFormat="false" ht="54" hidden="false" customHeight="true" outlineLevel="0" collapsed="false">
      <c r="A26" s="20" t="s">
        <v>81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 t="s">
        <v>75</v>
      </c>
      <c r="AP26" s="20" t="s">
        <v>66</v>
      </c>
      <c r="AQ26" s="37" t="s">
        <v>82</v>
      </c>
      <c r="AR26" s="38"/>
      <c r="AS26" s="38"/>
      <c r="AT26" s="38"/>
      <c r="AU26" s="37"/>
      <c r="AV26" s="38"/>
      <c r="AW26" s="38"/>
      <c r="AX26" s="38"/>
      <c r="AY26" s="38"/>
      <c r="AZ26" s="38"/>
      <c r="BA26" s="38"/>
      <c r="BB26" s="38"/>
      <c r="BC26" s="39"/>
      <c r="BD26" s="36"/>
      <c r="BE26" s="36"/>
      <c r="BF26" s="36"/>
      <c r="BG26" s="36"/>
      <c r="BH26" s="36"/>
      <c r="BI26" s="36"/>
      <c r="BJ26" s="36"/>
      <c r="BK26" s="36"/>
      <c r="BL26" s="36"/>
      <c r="BM26" s="36"/>
      <c r="BN26" s="36"/>
      <c r="BO26" s="36"/>
      <c r="BP26" s="36"/>
      <c r="BQ26" s="36"/>
      <c r="BR26" s="36"/>
      <c r="BS26" s="36"/>
      <c r="BT26" s="36"/>
      <c r="BU26" s="36"/>
      <c r="BV26" s="36"/>
      <c r="BW26" s="36"/>
      <c r="BX26" s="36"/>
      <c r="BY26" s="36"/>
      <c r="BZ26" s="36"/>
      <c r="CA26" s="36"/>
      <c r="CB26" s="36"/>
      <c r="CC26" s="36"/>
      <c r="CD26" s="36"/>
      <c r="CE26" s="36"/>
      <c r="CF26" s="36"/>
      <c r="CG26" s="36"/>
    </row>
    <row r="27" customFormat="false" ht="54" hidden="false" customHeight="true" outlineLevel="0" collapsed="false">
      <c r="A27" s="20" t="s">
        <v>83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 t="s">
        <v>75</v>
      </c>
      <c r="AP27" s="20" t="s">
        <v>66</v>
      </c>
      <c r="AQ27" s="37" t="s">
        <v>84</v>
      </c>
      <c r="AR27" s="38"/>
      <c r="AS27" s="38"/>
      <c r="AT27" s="38"/>
      <c r="AU27" s="37"/>
      <c r="AV27" s="38"/>
      <c r="AW27" s="38"/>
      <c r="AX27" s="38"/>
      <c r="AY27" s="38"/>
      <c r="AZ27" s="38"/>
      <c r="BA27" s="38"/>
      <c r="BB27" s="38"/>
      <c r="BC27" s="39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  <c r="BY27" s="36"/>
      <c r="BZ27" s="36"/>
      <c r="CA27" s="36"/>
      <c r="CB27" s="36"/>
      <c r="CC27" s="36"/>
      <c r="CD27" s="36"/>
      <c r="CE27" s="36"/>
      <c r="CF27" s="36"/>
      <c r="CG27" s="36"/>
    </row>
    <row r="28" s="29" customFormat="true" ht="20.25" hidden="false" customHeight="true" outlineLevel="0" collapsed="false">
      <c r="A28" s="28" t="s">
        <v>97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44" t="s">
        <v>11</v>
      </c>
      <c r="AP28" s="45" t="s">
        <v>12</v>
      </c>
      <c r="AQ28" s="46" t="s">
        <v>13</v>
      </c>
      <c r="AR28" s="47"/>
      <c r="AS28" s="47"/>
      <c r="AT28" s="47"/>
      <c r="AU28" s="48" t="s">
        <v>98</v>
      </c>
      <c r="AV28" s="48"/>
      <c r="AW28" s="48"/>
      <c r="AX28" s="48"/>
      <c r="AY28" s="48"/>
      <c r="AZ28" s="48"/>
      <c r="BA28" s="48"/>
      <c r="BB28" s="48"/>
      <c r="BC28" s="4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28"/>
      <c r="BR28" s="28"/>
      <c r="BS28" s="28"/>
      <c r="BT28" s="28"/>
      <c r="BU28" s="28"/>
      <c r="BV28" s="28"/>
      <c r="BW28" s="28"/>
      <c r="BX28" s="28"/>
      <c r="BY28" s="28"/>
      <c r="BZ28" s="28"/>
      <c r="CA28" s="28"/>
      <c r="CB28" s="28"/>
      <c r="CC28" s="28"/>
      <c r="CD28" s="28"/>
      <c r="CE28" s="28"/>
      <c r="CF28" s="28"/>
      <c r="CG28" s="28"/>
    </row>
    <row r="29" customFormat="false" ht="21.75" hidden="false" customHeight="true" outlineLevel="0" collapsed="false">
      <c r="A29" s="18" t="s">
        <v>200</v>
      </c>
      <c r="B29" s="18"/>
      <c r="C29" s="18"/>
      <c r="D29" s="18"/>
      <c r="E29" s="18"/>
      <c r="F29" s="18"/>
      <c r="G29" s="18" t="s">
        <v>15</v>
      </c>
      <c r="H29" s="18"/>
      <c r="I29" s="18"/>
      <c r="J29" s="18"/>
      <c r="K29" s="42" t="s">
        <v>201</v>
      </c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23"/>
      <c r="AA29" s="23"/>
      <c r="AB29" s="23"/>
      <c r="AC29" s="23"/>
      <c r="AD29" s="23"/>
      <c r="AE29" s="23"/>
      <c r="AF29" s="23"/>
      <c r="AG29" s="23"/>
      <c r="AH29" s="23"/>
      <c r="AI29" s="30"/>
      <c r="AJ29" s="30"/>
      <c r="AK29" s="30"/>
      <c r="AL29" s="30"/>
      <c r="AM29" s="30"/>
      <c r="AN29" s="30"/>
      <c r="AO29" s="21" t="s">
        <v>66</v>
      </c>
      <c r="AP29" s="21" t="s">
        <v>18</v>
      </c>
      <c r="AQ29" s="21" t="s">
        <v>87</v>
      </c>
      <c r="AR29" s="21"/>
      <c r="AS29" s="21"/>
      <c r="AT29" s="21"/>
      <c r="AU29" s="21" t="s">
        <v>202</v>
      </c>
      <c r="AV29" s="21"/>
      <c r="AW29" s="21"/>
      <c r="AX29" s="21"/>
      <c r="AY29" s="21"/>
      <c r="AZ29" s="21"/>
      <c r="BA29" s="21"/>
      <c r="BB29" s="21"/>
      <c r="BC29" s="21"/>
      <c r="BD29" s="22" t="n">
        <v>340</v>
      </c>
      <c r="BE29" s="22"/>
      <c r="BF29" s="22"/>
      <c r="BG29" s="23" t="s">
        <v>202</v>
      </c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2"/>
      <c r="BV29" s="22"/>
      <c r="BW29" s="22"/>
      <c r="BX29" s="22"/>
      <c r="BY29" s="22"/>
      <c r="BZ29" s="32" t="n">
        <v>1</v>
      </c>
      <c r="CA29" s="32"/>
      <c r="CB29" s="32"/>
      <c r="CC29" s="32"/>
      <c r="CD29" s="32"/>
      <c r="CE29" s="32"/>
      <c r="CF29" s="32"/>
      <c r="CG29" s="32"/>
    </row>
    <row r="30" customFormat="false" ht="39" hidden="false" customHeight="true" outlineLevel="0" collapsed="false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23"/>
      <c r="AA30" s="23"/>
      <c r="AB30" s="23"/>
      <c r="AC30" s="23"/>
      <c r="AD30" s="23"/>
      <c r="AE30" s="23"/>
      <c r="AF30" s="23"/>
      <c r="AG30" s="23"/>
      <c r="AH30" s="23"/>
      <c r="AI30" s="30"/>
      <c r="AJ30" s="30"/>
      <c r="AK30" s="30"/>
      <c r="AL30" s="30"/>
      <c r="AM30" s="30"/>
      <c r="AN30" s="30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2"/>
      <c r="BE30" s="22"/>
      <c r="BF30" s="22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2"/>
      <c r="BV30" s="22"/>
      <c r="BW30" s="22"/>
      <c r="BX30" s="22"/>
      <c r="BY30" s="22"/>
      <c r="BZ30" s="32"/>
      <c r="CA30" s="32"/>
      <c r="CB30" s="32"/>
      <c r="CC30" s="32"/>
      <c r="CD30" s="32"/>
      <c r="CE30" s="32"/>
      <c r="CF30" s="32"/>
      <c r="CG30" s="32"/>
    </row>
    <row r="31" customFormat="false" ht="42.75" hidden="false" customHeight="true" outlineLevel="0" collapsed="false">
      <c r="A31" s="17" t="s">
        <v>203</v>
      </c>
      <c r="B31" s="17"/>
      <c r="C31" s="17"/>
      <c r="D31" s="17"/>
      <c r="E31" s="17"/>
      <c r="F31" s="17"/>
      <c r="G31" s="18" t="s">
        <v>15</v>
      </c>
      <c r="H31" s="18"/>
      <c r="I31" s="18"/>
      <c r="J31" s="18"/>
      <c r="K31" s="26" t="s">
        <v>204</v>
      </c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42"/>
      <c r="AA31" s="42"/>
      <c r="AB31" s="42"/>
      <c r="AC31" s="42"/>
      <c r="AD31" s="42"/>
      <c r="AE31" s="42"/>
      <c r="AF31" s="42"/>
      <c r="AG31" s="42"/>
      <c r="AH31" s="42"/>
      <c r="AI31" s="49"/>
      <c r="AJ31" s="49"/>
      <c r="AK31" s="49"/>
      <c r="AL31" s="49"/>
      <c r="AM31" s="49"/>
      <c r="AN31" s="49"/>
      <c r="AO31" s="37" t="s">
        <v>66</v>
      </c>
      <c r="AP31" s="37" t="s">
        <v>18</v>
      </c>
      <c r="AQ31" s="21" t="s">
        <v>87</v>
      </c>
      <c r="AR31" s="21"/>
      <c r="AS31" s="21"/>
      <c r="AT31" s="21"/>
      <c r="AU31" s="21" t="s">
        <v>205</v>
      </c>
      <c r="AV31" s="21"/>
      <c r="AW31" s="21"/>
      <c r="AX31" s="21"/>
      <c r="AY31" s="21"/>
      <c r="AZ31" s="21"/>
      <c r="BA31" s="21"/>
      <c r="BB31" s="21"/>
      <c r="BC31" s="21"/>
      <c r="BD31" s="22" t="n">
        <v>480</v>
      </c>
      <c r="BE31" s="22"/>
      <c r="BF31" s="22"/>
      <c r="BG31" s="23" t="s">
        <v>205</v>
      </c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19"/>
      <c r="BV31" s="19"/>
      <c r="BW31" s="19"/>
      <c r="BX31" s="19"/>
      <c r="BY31" s="19"/>
      <c r="BZ31" s="24" t="n">
        <v>2</v>
      </c>
      <c r="CA31" s="24"/>
      <c r="CB31" s="24"/>
      <c r="CC31" s="24"/>
      <c r="CD31" s="24"/>
      <c r="CE31" s="24"/>
      <c r="CF31" s="24"/>
      <c r="CG31" s="24"/>
    </row>
    <row r="32" customFormat="false" ht="15" hidden="false" customHeight="true" outlineLevel="0" collapsed="false">
      <c r="A32" s="18" t="s">
        <v>206</v>
      </c>
      <c r="B32" s="18"/>
      <c r="C32" s="18"/>
      <c r="D32" s="18"/>
      <c r="E32" s="18"/>
      <c r="F32" s="18"/>
      <c r="G32" s="18" t="s">
        <v>15</v>
      </c>
      <c r="H32" s="18"/>
      <c r="I32" s="18"/>
      <c r="J32" s="18"/>
      <c r="K32" s="42" t="s">
        <v>123</v>
      </c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21" t="s">
        <v>66</v>
      </c>
      <c r="AP32" s="21" t="s">
        <v>18</v>
      </c>
      <c r="AQ32" s="21" t="s">
        <v>87</v>
      </c>
      <c r="AR32" s="21"/>
      <c r="AS32" s="21"/>
      <c r="AT32" s="21"/>
      <c r="AU32" s="21" t="s">
        <v>207</v>
      </c>
      <c r="AV32" s="21"/>
      <c r="AW32" s="21"/>
      <c r="AX32" s="21"/>
      <c r="AY32" s="21"/>
      <c r="AZ32" s="21"/>
      <c r="BA32" s="21"/>
      <c r="BB32" s="21"/>
      <c r="BC32" s="21"/>
      <c r="BD32" s="22" t="n">
        <v>371</v>
      </c>
      <c r="BE32" s="22"/>
      <c r="BF32" s="22"/>
      <c r="BG32" s="22" t="s">
        <v>207</v>
      </c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50" t="n">
        <v>3</v>
      </c>
      <c r="CA32" s="50"/>
      <c r="CB32" s="50"/>
      <c r="CC32" s="50"/>
      <c r="CD32" s="50"/>
      <c r="CE32" s="50"/>
      <c r="CF32" s="50"/>
      <c r="CG32" s="50"/>
    </row>
    <row r="33" customFormat="false" ht="15" hidden="false" customHeight="true" outlineLevel="0" collapsed="false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50"/>
      <c r="CA33" s="50"/>
      <c r="CB33" s="50"/>
      <c r="CC33" s="50"/>
      <c r="CD33" s="50"/>
      <c r="CE33" s="50"/>
      <c r="CF33" s="50"/>
      <c r="CG33" s="50"/>
    </row>
    <row r="34" customFormat="false" ht="15" hidden="false" customHeight="true" outlineLevel="0" collapsed="false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1"/>
      <c r="BF34" s="61"/>
      <c r="BG34" s="61"/>
      <c r="BH34" s="61"/>
      <c r="BI34" s="61"/>
      <c r="BJ34" s="61"/>
      <c r="BK34" s="61"/>
      <c r="BL34" s="61"/>
      <c r="BM34" s="61"/>
      <c r="BN34" s="61"/>
      <c r="BO34" s="61"/>
      <c r="BP34" s="61"/>
      <c r="BQ34" s="61"/>
      <c r="BR34" s="61"/>
      <c r="BS34" s="61"/>
      <c r="BT34" s="61"/>
      <c r="BU34" s="61"/>
      <c r="BV34" s="61"/>
      <c r="BW34" s="61"/>
      <c r="BX34" s="61"/>
      <c r="BY34" s="61"/>
    </row>
  </sheetData>
  <mergeCells count="203">
    <mergeCell ref="BD1:CG1"/>
    <mergeCell ref="A2:BC2"/>
    <mergeCell ref="BD2:CG2"/>
    <mergeCell ref="CI2:CP2"/>
    <mergeCell ref="A3:F3"/>
    <mergeCell ref="G3:J3"/>
    <mergeCell ref="K3:Y3"/>
    <mergeCell ref="Z3:AN3"/>
    <mergeCell ref="AO3:BC3"/>
    <mergeCell ref="BD3:BT3"/>
    <mergeCell ref="BU3:BY3"/>
    <mergeCell ref="BZ3:CG3"/>
    <mergeCell ref="A4:AN4"/>
    <mergeCell ref="AQ4:AT4"/>
    <mergeCell ref="AU4:BC4"/>
    <mergeCell ref="BD4:CG4"/>
    <mergeCell ref="A5:F5"/>
    <mergeCell ref="G5:J5"/>
    <mergeCell ref="K5:Y5"/>
    <mergeCell ref="Z5:AN5"/>
    <mergeCell ref="AQ5:AT5"/>
    <mergeCell ref="AU5:BC5"/>
    <mergeCell ref="BD5:BF5"/>
    <mergeCell ref="BG5:BT5"/>
    <mergeCell ref="BU5:BY5"/>
    <mergeCell ref="BZ5:CG5"/>
    <mergeCell ref="A6:F6"/>
    <mergeCell ref="G6:J6"/>
    <mergeCell ref="K6:Y6"/>
    <mergeCell ref="Z6:AN6"/>
    <mergeCell ref="AQ6:AT6"/>
    <mergeCell ref="AU6:BC6"/>
    <mergeCell ref="BD6:BF6"/>
    <mergeCell ref="BG6:BT6"/>
    <mergeCell ref="BU6:BY6"/>
    <mergeCell ref="BZ6:CG6"/>
    <mergeCell ref="A7:F7"/>
    <mergeCell ref="G7:J7"/>
    <mergeCell ref="K7:Y7"/>
    <mergeCell ref="Z7:AN7"/>
    <mergeCell ref="AQ7:AT7"/>
    <mergeCell ref="AU7:BC7"/>
    <mergeCell ref="BD7:BF7"/>
    <mergeCell ref="BG7:BT7"/>
    <mergeCell ref="BU7:BY7"/>
    <mergeCell ref="BZ7:CG7"/>
    <mergeCell ref="A8:F8"/>
    <mergeCell ref="G8:J8"/>
    <mergeCell ref="K8:Y8"/>
    <mergeCell ref="Z8:AN8"/>
    <mergeCell ref="AQ8:AT8"/>
    <mergeCell ref="AU8:BC8"/>
    <mergeCell ref="BD8:BF8"/>
    <mergeCell ref="BG8:BT8"/>
    <mergeCell ref="BU8:BY8"/>
    <mergeCell ref="BZ8:CG8"/>
    <mergeCell ref="A9:F9"/>
    <mergeCell ref="G9:J9"/>
    <mergeCell ref="K9:Y9"/>
    <mergeCell ref="Z9:AN9"/>
    <mergeCell ref="AQ9:AT9"/>
    <mergeCell ref="AU9:BC9"/>
    <mergeCell ref="BD9:BF9"/>
    <mergeCell ref="BG9:BT9"/>
    <mergeCell ref="BU9:BY9"/>
    <mergeCell ref="BZ9:CG9"/>
    <mergeCell ref="A10:F10"/>
    <mergeCell ref="G10:J10"/>
    <mergeCell ref="K10:Y10"/>
    <mergeCell ref="Z10:AN10"/>
    <mergeCell ref="AQ10:AT10"/>
    <mergeCell ref="AU10:BC10"/>
    <mergeCell ref="BD10:BF10"/>
    <mergeCell ref="BG10:BT10"/>
    <mergeCell ref="BU10:BY10"/>
    <mergeCell ref="BZ10:CG10"/>
    <mergeCell ref="A11:F11"/>
    <mergeCell ref="G11:J11"/>
    <mergeCell ref="K11:Y11"/>
    <mergeCell ref="Z11:AN11"/>
    <mergeCell ref="AQ11:AT11"/>
    <mergeCell ref="AU11:BC11"/>
    <mergeCell ref="BD11:BF11"/>
    <mergeCell ref="BG11:BT11"/>
    <mergeCell ref="BU11:BY11"/>
    <mergeCell ref="BZ11:CG11"/>
    <mergeCell ref="A12:F12"/>
    <mergeCell ref="G12:J12"/>
    <mergeCell ref="K12:Y12"/>
    <mergeCell ref="Z12:AN12"/>
    <mergeCell ref="AQ12:AT12"/>
    <mergeCell ref="AU12:BC12"/>
    <mergeCell ref="BD12:BF12"/>
    <mergeCell ref="BG12:BT12"/>
    <mergeCell ref="BU12:BY12"/>
    <mergeCell ref="BZ12:CG12"/>
    <mergeCell ref="A13:F13"/>
    <mergeCell ref="G13:J13"/>
    <mergeCell ref="K13:Y13"/>
    <mergeCell ref="Z13:AN13"/>
    <mergeCell ref="AQ13:AT13"/>
    <mergeCell ref="AU13:BC13"/>
    <mergeCell ref="BD13:BF13"/>
    <mergeCell ref="BG13:BT13"/>
    <mergeCell ref="BU13:BY13"/>
    <mergeCell ref="BZ13:CG13"/>
    <mergeCell ref="A14:F14"/>
    <mergeCell ref="G14:J14"/>
    <mergeCell ref="K14:Y14"/>
    <mergeCell ref="Z14:AN14"/>
    <mergeCell ref="AQ14:AT14"/>
    <mergeCell ref="AU14:BC14"/>
    <mergeCell ref="BD14:BF14"/>
    <mergeCell ref="BG14:BT14"/>
    <mergeCell ref="BU14:BY14"/>
    <mergeCell ref="BZ14:CG14"/>
    <mergeCell ref="A15:F15"/>
    <mergeCell ref="G15:J15"/>
    <mergeCell ref="K15:Y15"/>
    <mergeCell ref="Z15:AN15"/>
    <mergeCell ref="AQ15:AT15"/>
    <mergeCell ref="AU15:BC15"/>
    <mergeCell ref="BD15:BF15"/>
    <mergeCell ref="BG15:BT15"/>
    <mergeCell ref="BU15:BY15"/>
    <mergeCell ref="BZ15:CG15"/>
    <mergeCell ref="A16:BC16"/>
    <mergeCell ref="BD16:CG16"/>
    <mergeCell ref="A17:F18"/>
    <mergeCell ref="G17:J18"/>
    <mergeCell ref="K17:Y18"/>
    <mergeCell ref="Z17:AH17"/>
    <mergeCell ref="AI17:AN17"/>
    <mergeCell ref="AO17:AO18"/>
    <mergeCell ref="AP17:AP18"/>
    <mergeCell ref="AQ17:AT18"/>
    <mergeCell ref="AU17:BC18"/>
    <mergeCell ref="BD17:BF18"/>
    <mergeCell ref="BG17:BT18"/>
    <mergeCell ref="BU17:BY18"/>
    <mergeCell ref="BZ17:CG18"/>
    <mergeCell ref="Z18:AH18"/>
    <mergeCell ref="AI18:AN18"/>
    <mergeCell ref="A19:AN19"/>
    <mergeCell ref="AQ19:AT19"/>
    <mergeCell ref="AU19:BC19"/>
    <mergeCell ref="BD19:CG19"/>
    <mergeCell ref="A20:AN20"/>
    <mergeCell ref="A21:AN21"/>
    <mergeCell ref="A22:AN22"/>
    <mergeCell ref="A23:AN23"/>
    <mergeCell ref="A24:AN24"/>
    <mergeCell ref="A25:AN25"/>
    <mergeCell ref="A26:AN26"/>
    <mergeCell ref="A27:AN27"/>
    <mergeCell ref="A28:AN28"/>
    <mergeCell ref="AU28:BC28"/>
    <mergeCell ref="BD28:CG28"/>
    <mergeCell ref="A29:F30"/>
    <mergeCell ref="G29:J30"/>
    <mergeCell ref="K29:Y30"/>
    <mergeCell ref="Z29:AH29"/>
    <mergeCell ref="AI29:AN29"/>
    <mergeCell ref="AO29:AO30"/>
    <mergeCell ref="AP29:AP30"/>
    <mergeCell ref="AQ29:AT30"/>
    <mergeCell ref="AU29:BC30"/>
    <mergeCell ref="BD29:BF30"/>
    <mergeCell ref="BG29:BT30"/>
    <mergeCell ref="BU29:BY30"/>
    <mergeCell ref="BZ29:CG30"/>
    <mergeCell ref="Z30:AH30"/>
    <mergeCell ref="AI30:AN30"/>
    <mergeCell ref="A31:F31"/>
    <mergeCell ref="G31:J31"/>
    <mergeCell ref="K31:Y31"/>
    <mergeCell ref="Z31:AH31"/>
    <mergeCell ref="AI31:AN31"/>
    <mergeCell ref="AQ31:AT31"/>
    <mergeCell ref="AU31:BC31"/>
    <mergeCell ref="BD31:BF31"/>
    <mergeCell ref="BG31:BT31"/>
    <mergeCell ref="BU31:BY31"/>
    <mergeCell ref="BZ31:CG31"/>
    <mergeCell ref="A32:F33"/>
    <mergeCell ref="G32:J33"/>
    <mergeCell ref="K32:Y33"/>
    <mergeCell ref="Z32:AN33"/>
    <mergeCell ref="AO32:AO33"/>
    <mergeCell ref="AP32:AP33"/>
    <mergeCell ref="AQ32:AT33"/>
    <mergeCell ref="AU32:BC33"/>
    <mergeCell ref="BD32:BF33"/>
    <mergeCell ref="BG32:BT33"/>
    <mergeCell ref="BU32:BY33"/>
    <mergeCell ref="BZ32:CG33"/>
    <mergeCell ref="A34:F34"/>
    <mergeCell ref="G34:J34"/>
    <mergeCell ref="K34:Y34"/>
    <mergeCell ref="Z34:AN34"/>
    <mergeCell ref="AO34:BC34"/>
    <mergeCell ref="BD34:BT34"/>
    <mergeCell ref="BU34:BY34"/>
  </mergeCells>
  <conditionalFormatting sqref="G29:J31 G32">
    <cfRule type="cellIs" priority="2" operator="equal" aboveAverage="0" equalAverage="0" bottom="0" percent="0" rank="0" text="" dxfId="0">
      <formula>"İMTİNA"</formula>
    </cfRule>
  </conditionalFormatting>
  <conditionalFormatting sqref="G5:J15">
    <cfRule type="cellIs" priority="3" operator="equal" aboveAverage="0" equalAverage="0" bottom="0" percent="0" rank="0" text="" dxfId="0">
      <formula>"İMTİNA"</formula>
    </cfRule>
  </conditionalFormatting>
  <conditionalFormatting sqref="G17:J18">
    <cfRule type="cellIs" priority="4" operator="equal" aboveAverage="0" equalAverage="0" bottom="0" percent="0" rank="0" text="" dxfId="0">
      <formula>"İMTİNA"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R50"/>
  <sheetViews>
    <sheetView showFormulas="false" showGridLines="tru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A28" activeCellId="0" sqref="A28"/>
    </sheetView>
  </sheetViews>
  <sheetFormatPr defaultColWidth="2.66796875" defaultRowHeight="14.25" customHeight="true" zeroHeight="false" outlineLevelRow="0" outlineLevelCol="0"/>
  <cols>
    <col collapsed="false" customWidth="false" hidden="false" outlineLevel="0" max="10" min="1" style="1" width="2.67"/>
    <col collapsed="false" customWidth="false" hidden="false" outlineLevel="0" max="25" min="11" style="2" width="2.67"/>
    <col collapsed="false" customWidth="false" hidden="false" outlineLevel="0" max="40" min="26" style="3" width="2.67"/>
    <col collapsed="false" customWidth="true" hidden="false" outlineLevel="0" max="41" min="41" style="3" width="22.67"/>
    <col collapsed="false" customWidth="true" hidden="false" outlineLevel="0" max="42" min="42" style="3" width="19.21"/>
    <col collapsed="false" customWidth="true" hidden="false" outlineLevel="0" max="43" min="43" style="3" width="29.44"/>
    <col collapsed="false" customWidth="false" hidden="false" outlineLevel="0" max="77" min="44" style="3" width="2.67"/>
    <col collapsed="false" customWidth="false" hidden="false" outlineLevel="0" max="85" min="78" style="4" width="2.67"/>
  </cols>
  <sheetData>
    <row r="1" customFormat="false" ht="15" hidden="false" customHeight="true" outlineLevel="0" collapsed="false"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</row>
    <row r="2" customFormat="false" ht="30" hidden="false" customHeight="true" outlineLevel="0" collapsed="false">
      <c r="A2" s="6" t="s">
        <v>208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I2" s="7" t="s">
        <v>0</v>
      </c>
      <c r="CJ2" s="7"/>
      <c r="CK2" s="7"/>
      <c r="CL2" s="7"/>
      <c r="CM2" s="7"/>
      <c r="CN2" s="7"/>
      <c r="CO2" s="7"/>
      <c r="CP2" s="7"/>
      <c r="CR2" s="8" t="s">
        <v>1</v>
      </c>
    </row>
    <row r="3" customFormat="false" ht="75" hidden="false" customHeight="true" outlineLevel="0" collapsed="false">
      <c r="A3" s="9" t="s">
        <v>2</v>
      </c>
      <c r="B3" s="9"/>
      <c r="C3" s="9"/>
      <c r="D3" s="9"/>
      <c r="E3" s="9"/>
      <c r="F3" s="9"/>
      <c r="G3" s="9" t="s">
        <v>3</v>
      </c>
      <c r="H3" s="9"/>
      <c r="I3" s="9"/>
      <c r="J3" s="9"/>
      <c r="K3" s="10" t="s">
        <v>4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 t="s">
        <v>5</v>
      </c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 t="s">
        <v>6</v>
      </c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1" t="s">
        <v>7</v>
      </c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 t="s">
        <v>8</v>
      </c>
      <c r="BV3" s="11"/>
      <c r="BW3" s="11"/>
      <c r="BX3" s="11"/>
      <c r="BY3" s="11"/>
      <c r="BZ3" s="9" t="s">
        <v>9</v>
      </c>
      <c r="CA3" s="9"/>
      <c r="CB3" s="9"/>
      <c r="CC3" s="9"/>
      <c r="CD3" s="9"/>
      <c r="CE3" s="9"/>
      <c r="CF3" s="9"/>
      <c r="CG3" s="9"/>
    </row>
    <row r="4" s="29" customFormat="true" ht="20.25" hidden="false" customHeight="true" outlineLevel="0" collapsed="false">
      <c r="A4" s="28" t="s">
        <v>196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44" t="s">
        <v>11</v>
      </c>
      <c r="AP4" s="45" t="s">
        <v>12</v>
      </c>
      <c r="AQ4" s="45" t="s">
        <v>13</v>
      </c>
      <c r="AR4" s="45"/>
      <c r="AS4" s="45"/>
      <c r="AT4" s="45"/>
      <c r="AU4" s="35"/>
      <c r="AV4" s="35"/>
      <c r="AW4" s="35"/>
      <c r="AX4" s="35"/>
      <c r="AY4" s="35"/>
      <c r="AZ4" s="35"/>
      <c r="BA4" s="35"/>
      <c r="BB4" s="35"/>
      <c r="BC4" s="35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</row>
    <row r="5" customFormat="false" ht="57" hidden="false" customHeight="true" outlineLevel="0" collapsed="false">
      <c r="A5" s="17" t="s">
        <v>14</v>
      </c>
      <c r="B5" s="17"/>
      <c r="C5" s="17"/>
      <c r="D5" s="17"/>
      <c r="E5" s="17"/>
      <c r="F5" s="17"/>
      <c r="G5" s="18" t="s">
        <v>15</v>
      </c>
      <c r="H5" s="18"/>
      <c r="I5" s="18"/>
      <c r="J5" s="18"/>
      <c r="K5" s="19" t="s">
        <v>16</v>
      </c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20" t="s">
        <v>17</v>
      </c>
      <c r="AP5" s="20" t="s">
        <v>18</v>
      </c>
      <c r="AQ5" s="21" t="s">
        <v>19</v>
      </c>
      <c r="AR5" s="21"/>
      <c r="AS5" s="21"/>
      <c r="AT5" s="21"/>
      <c r="AU5" s="21" t="s">
        <v>20</v>
      </c>
      <c r="AV5" s="21"/>
      <c r="AW5" s="21"/>
      <c r="AX5" s="21"/>
      <c r="AY5" s="21"/>
      <c r="AZ5" s="21"/>
      <c r="BA5" s="21"/>
      <c r="BB5" s="21"/>
      <c r="BC5" s="21"/>
      <c r="BD5" s="22" t="s">
        <v>21</v>
      </c>
      <c r="BE5" s="22"/>
      <c r="BF5" s="22"/>
      <c r="BG5" s="23" t="str">
        <f aca="false">IFERROR(VLOOKUP('Cash ABC+ACZ'!BD5,Lookups111!A$4:B$38,2,FALSE()),"")</f>
        <v>Qara siyahı</v>
      </c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19"/>
      <c r="BV5" s="19"/>
      <c r="BW5" s="19"/>
      <c r="BX5" s="19"/>
      <c r="BY5" s="19"/>
      <c r="BZ5" s="24" t="n">
        <v>1</v>
      </c>
      <c r="CA5" s="24"/>
      <c r="CB5" s="24"/>
      <c r="CC5" s="24"/>
      <c r="CD5" s="24"/>
      <c r="CE5" s="24"/>
      <c r="CF5" s="24"/>
      <c r="CG5" s="24"/>
    </row>
    <row r="6" customFormat="false" ht="57" hidden="false" customHeight="true" outlineLevel="0" collapsed="false">
      <c r="A6" s="17" t="s">
        <v>22</v>
      </c>
      <c r="B6" s="17"/>
      <c r="C6" s="17"/>
      <c r="D6" s="17"/>
      <c r="E6" s="17"/>
      <c r="F6" s="17"/>
      <c r="G6" s="18" t="s">
        <v>15</v>
      </c>
      <c r="H6" s="18"/>
      <c r="I6" s="18"/>
      <c r="J6" s="18"/>
      <c r="K6" s="19" t="s">
        <v>23</v>
      </c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20" t="s">
        <v>17</v>
      </c>
      <c r="AP6" s="20" t="s">
        <v>18</v>
      </c>
      <c r="AQ6" s="21" t="s">
        <v>19</v>
      </c>
      <c r="AR6" s="21"/>
      <c r="AS6" s="21"/>
      <c r="AT6" s="21"/>
      <c r="AU6" s="21" t="s">
        <v>24</v>
      </c>
      <c r="AV6" s="21"/>
      <c r="AW6" s="21"/>
      <c r="AX6" s="21"/>
      <c r="AY6" s="21"/>
      <c r="AZ6" s="21"/>
      <c r="BA6" s="21"/>
      <c r="BB6" s="21"/>
      <c r="BC6" s="21"/>
      <c r="BD6" s="22" t="s">
        <v>25</v>
      </c>
      <c r="BE6" s="22"/>
      <c r="BF6" s="22"/>
      <c r="BG6" s="23" t="str">
        <f aca="false">IFERROR(VLOOKUP('Cash ABC+ACZ'!BD6,Lookups111!A$4:B$38,2,FALSE()),"")</f>
        <v>Gəliri kifayət etmir</v>
      </c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5" t="n">
        <v>15</v>
      </c>
      <c r="BV6" s="25"/>
      <c r="BW6" s="25"/>
      <c r="BX6" s="25"/>
      <c r="BY6" s="25"/>
      <c r="BZ6" s="24" t="n">
        <v>2</v>
      </c>
      <c r="CA6" s="24"/>
      <c r="CB6" s="24"/>
      <c r="CC6" s="24"/>
      <c r="CD6" s="24"/>
      <c r="CE6" s="24"/>
      <c r="CF6" s="24"/>
      <c r="CG6" s="24"/>
    </row>
    <row r="7" customFormat="false" ht="57" hidden="false" customHeight="true" outlineLevel="0" collapsed="false">
      <c r="A7" s="17" t="s">
        <v>26</v>
      </c>
      <c r="B7" s="17"/>
      <c r="C7" s="17"/>
      <c r="D7" s="17"/>
      <c r="E7" s="17"/>
      <c r="F7" s="17"/>
      <c r="G7" s="18" t="s">
        <v>15</v>
      </c>
      <c r="H7" s="18"/>
      <c r="I7" s="18"/>
      <c r="J7" s="18"/>
      <c r="K7" s="26" t="s">
        <v>27</v>
      </c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0" t="s">
        <v>17</v>
      </c>
      <c r="AP7" s="20" t="s">
        <v>18</v>
      </c>
      <c r="AQ7" s="21" t="s">
        <v>19</v>
      </c>
      <c r="AR7" s="21"/>
      <c r="AS7" s="21"/>
      <c r="AT7" s="21"/>
      <c r="AU7" s="21" t="s">
        <v>28</v>
      </c>
      <c r="AV7" s="21"/>
      <c r="AW7" s="21"/>
      <c r="AX7" s="21"/>
      <c r="AY7" s="21"/>
      <c r="AZ7" s="21"/>
      <c r="BA7" s="21"/>
      <c r="BB7" s="21"/>
      <c r="BC7" s="21"/>
      <c r="BD7" s="22" t="s">
        <v>29</v>
      </c>
      <c r="BE7" s="22"/>
      <c r="BF7" s="22"/>
      <c r="BG7" s="23" t="str">
        <f aca="false">IFERROR(VLOOKUP('Cash ABC+ACZ'!BD7,Lookups111!A$4:B$38,2,FALSE()),"")</f>
        <v>Mənfi kredit tarixçəsi</v>
      </c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7" t="n">
        <v>90</v>
      </c>
      <c r="BV7" s="27"/>
      <c r="BW7" s="27"/>
      <c r="BX7" s="27"/>
      <c r="BY7" s="27"/>
      <c r="BZ7" s="24" t="n">
        <v>3</v>
      </c>
      <c r="CA7" s="24"/>
      <c r="CB7" s="24"/>
      <c r="CC7" s="24"/>
      <c r="CD7" s="24"/>
      <c r="CE7" s="24"/>
      <c r="CF7" s="24"/>
      <c r="CG7" s="24"/>
    </row>
    <row r="8" customFormat="false" ht="57" hidden="false" customHeight="true" outlineLevel="0" collapsed="false">
      <c r="A8" s="17" t="s">
        <v>30</v>
      </c>
      <c r="B8" s="17"/>
      <c r="C8" s="17"/>
      <c r="D8" s="17"/>
      <c r="E8" s="17"/>
      <c r="F8" s="17"/>
      <c r="G8" s="18" t="s">
        <v>15</v>
      </c>
      <c r="H8" s="18"/>
      <c r="I8" s="18"/>
      <c r="J8" s="18"/>
      <c r="K8" s="26" t="s">
        <v>31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0" t="s">
        <v>17</v>
      </c>
      <c r="AP8" s="20" t="s">
        <v>18</v>
      </c>
      <c r="AQ8" s="21" t="s">
        <v>19</v>
      </c>
      <c r="AR8" s="21"/>
      <c r="AS8" s="21"/>
      <c r="AT8" s="21"/>
      <c r="AU8" s="21" t="s">
        <v>32</v>
      </c>
      <c r="AV8" s="21"/>
      <c r="AW8" s="21"/>
      <c r="AX8" s="21"/>
      <c r="AY8" s="21"/>
      <c r="AZ8" s="21"/>
      <c r="BA8" s="21"/>
      <c r="BB8" s="21"/>
      <c r="BC8" s="21"/>
      <c r="BD8" s="22" t="s">
        <v>33</v>
      </c>
      <c r="BE8" s="22"/>
      <c r="BF8" s="22"/>
      <c r="BG8" s="23" t="str">
        <f aca="false">IFERROR(VLOOKUP('Cash ABC+ACZ'!BD8,Lookups111!A$4:B$38,2,FALSE()),"")</f>
        <v>Ailə üzvlərinin mənfi tarixçəsi</v>
      </c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7" t="n">
        <v>15</v>
      </c>
      <c r="BV8" s="27"/>
      <c r="BW8" s="27"/>
      <c r="BX8" s="27"/>
      <c r="BY8" s="27"/>
      <c r="BZ8" s="24" t="n">
        <v>4</v>
      </c>
      <c r="CA8" s="24"/>
      <c r="CB8" s="24"/>
      <c r="CC8" s="24"/>
      <c r="CD8" s="24"/>
      <c r="CE8" s="24"/>
      <c r="CF8" s="24"/>
      <c r="CG8" s="24"/>
    </row>
    <row r="9" customFormat="false" ht="57" hidden="false" customHeight="true" outlineLevel="0" collapsed="false">
      <c r="A9" s="17" t="s">
        <v>34</v>
      </c>
      <c r="B9" s="17"/>
      <c r="C9" s="17"/>
      <c r="D9" s="17"/>
      <c r="E9" s="17"/>
      <c r="F9" s="17"/>
      <c r="G9" s="18" t="s">
        <v>15</v>
      </c>
      <c r="H9" s="18"/>
      <c r="I9" s="18"/>
      <c r="J9" s="18"/>
      <c r="K9" s="26" t="s">
        <v>35</v>
      </c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0" t="s">
        <v>17</v>
      </c>
      <c r="AP9" s="20" t="s">
        <v>18</v>
      </c>
      <c r="AQ9" s="21" t="s">
        <v>19</v>
      </c>
      <c r="AR9" s="21"/>
      <c r="AS9" s="21"/>
      <c r="AT9" s="21"/>
      <c r="AU9" s="21" t="s">
        <v>36</v>
      </c>
      <c r="AV9" s="21"/>
      <c r="AW9" s="21"/>
      <c r="AX9" s="21"/>
      <c r="AY9" s="21"/>
      <c r="AZ9" s="21"/>
      <c r="BA9" s="21"/>
      <c r="BB9" s="21"/>
      <c r="BC9" s="21"/>
      <c r="BD9" s="22" t="s">
        <v>37</v>
      </c>
      <c r="BE9" s="22"/>
      <c r="BF9" s="22"/>
      <c r="BG9" s="23" t="str">
        <f aca="false">IFERROR(VLOOKUP('Cash ABC+ACZ'!BD9,Lookups111!A$4:B$38,2,FALSE()),"")</f>
        <v>Yalan məlumat</v>
      </c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7" t="n">
        <v>15</v>
      </c>
      <c r="BV9" s="27"/>
      <c r="BW9" s="27"/>
      <c r="BX9" s="27"/>
      <c r="BY9" s="27"/>
      <c r="BZ9" s="24" t="n">
        <v>5</v>
      </c>
      <c r="CA9" s="24"/>
      <c r="CB9" s="24"/>
      <c r="CC9" s="24"/>
      <c r="CD9" s="24"/>
      <c r="CE9" s="24"/>
      <c r="CF9" s="24"/>
      <c r="CG9" s="24"/>
    </row>
    <row r="10" customFormat="false" ht="57" hidden="false" customHeight="true" outlineLevel="0" collapsed="false">
      <c r="A10" s="17" t="s">
        <v>38</v>
      </c>
      <c r="B10" s="17"/>
      <c r="C10" s="17"/>
      <c r="D10" s="17"/>
      <c r="E10" s="17"/>
      <c r="F10" s="17"/>
      <c r="G10" s="18" t="s">
        <v>15</v>
      </c>
      <c r="H10" s="18"/>
      <c r="I10" s="18"/>
      <c r="J10" s="18"/>
      <c r="K10" s="26" t="s">
        <v>39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0" t="s">
        <v>17</v>
      </c>
      <c r="AP10" s="20" t="s">
        <v>18</v>
      </c>
      <c r="AQ10" s="21" t="s">
        <v>19</v>
      </c>
      <c r="AR10" s="21"/>
      <c r="AS10" s="21"/>
      <c r="AT10" s="21"/>
      <c r="AU10" s="21" t="s">
        <v>40</v>
      </c>
      <c r="AV10" s="21"/>
      <c r="AW10" s="21"/>
      <c r="AX10" s="21"/>
      <c r="AY10" s="21"/>
      <c r="AZ10" s="21"/>
      <c r="BA10" s="21"/>
      <c r="BB10" s="21"/>
      <c r="BC10" s="21"/>
      <c r="BD10" s="22" t="s">
        <v>41</v>
      </c>
      <c r="BE10" s="22"/>
      <c r="BF10" s="22"/>
      <c r="BG10" s="23" t="str">
        <f aca="false">IFERROR(VLOOKUP('Cash ABC+ACZ'!BD10,Lookups111!A$4:B$38,2,FALSE()),"")</f>
        <v>Borc yüklülüyü çoxdur</v>
      </c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7" t="n">
        <v>3</v>
      </c>
      <c r="BV10" s="27"/>
      <c r="BW10" s="27"/>
      <c r="BX10" s="27"/>
      <c r="BY10" s="27"/>
      <c r="BZ10" s="24" t="n">
        <v>6</v>
      </c>
      <c r="CA10" s="24"/>
      <c r="CB10" s="24"/>
      <c r="CC10" s="24"/>
      <c r="CD10" s="24"/>
      <c r="CE10" s="24"/>
      <c r="CF10" s="24"/>
      <c r="CG10" s="24"/>
    </row>
    <row r="11" customFormat="false" ht="57" hidden="false" customHeight="true" outlineLevel="0" collapsed="false">
      <c r="A11" s="17" t="s">
        <v>42</v>
      </c>
      <c r="B11" s="17"/>
      <c r="C11" s="17"/>
      <c r="D11" s="17"/>
      <c r="E11" s="17"/>
      <c r="F11" s="17"/>
      <c r="G11" s="18" t="s">
        <v>15</v>
      </c>
      <c r="H11" s="18"/>
      <c r="I11" s="18"/>
      <c r="J11" s="18"/>
      <c r="K11" s="26" t="s">
        <v>43</v>
      </c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0" t="s">
        <v>17</v>
      </c>
      <c r="AP11" s="20" t="s">
        <v>18</v>
      </c>
      <c r="AQ11" s="21" t="s">
        <v>19</v>
      </c>
      <c r="AR11" s="21"/>
      <c r="AS11" s="21"/>
      <c r="AT11" s="21"/>
      <c r="AU11" s="21" t="s">
        <v>44</v>
      </c>
      <c r="AV11" s="21"/>
      <c r="AW11" s="21"/>
      <c r="AX11" s="21"/>
      <c r="AY11" s="21"/>
      <c r="AZ11" s="21"/>
      <c r="BA11" s="21"/>
      <c r="BB11" s="21"/>
      <c r="BC11" s="21"/>
      <c r="BD11" s="22" t="s">
        <v>45</v>
      </c>
      <c r="BE11" s="22"/>
      <c r="BF11" s="22"/>
      <c r="BG11" s="23" t="str">
        <f aca="false">IFERROR(VLOOKUP('Cash ABC+ACZ'!BD11,Lookups111!A$4:B$38,2,FALSE()),"")</f>
        <v>Əmək stajı azdır</v>
      </c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7" t="n">
        <v>3</v>
      </c>
      <c r="BV11" s="27"/>
      <c r="BW11" s="27"/>
      <c r="BX11" s="27"/>
      <c r="BY11" s="27"/>
      <c r="BZ11" s="24" t="n">
        <v>7</v>
      </c>
      <c r="CA11" s="24"/>
      <c r="CB11" s="24"/>
      <c r="CC11" s="24"/>
      <c r="CD11" s="24"/>
      <c r="CE11" s="24"/>
      <c r="CF11" s="24"/>
      <c r="CG11" s="24"/>
    </row>
    <row r="12" customFormat="false" ht="57" hidden="false" customHeight="true" outlineLevel="0" collapsed="false">
      <c r="A12" s="17" t="s">
        <v>46</v>
      </c>
      <c r="B12" s="17"/>
      <c r="C12" s="17"/>
      <c r="D12" s="17"/>
      <c r="E12" s="17"/>
      <c r="F12" s="17"/>
      <c r="G12" s="18" t="s">
        <v>15</v>
      </c>
      <c r="H12" s="18"/>
      <c r="I12" s="18"/>
      <c r="J12" s="18"/>
      <c r="K12" s="26" t="s">
        <v>47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0" t="s">
        <v>17</v>
      </c>
      <c r="AP12" s="20" t="s">
        <v>18</v>
      </c>
      <c r="AQ12" s="21" t="s">
        <v>19</v>
      </c>
      <c r="AR12" s="21"/>
      <c r="AS12" s="21"/>
      <c r="AT12" s="21"/>
      <c r="AU12" s="21" t="s">
        <v>48</v>
      </c>
      <c r="AV12" s="21"/>
      <c r="AW12" s="21"/>
      <c r="AX12" s="21"/>
      <c r="AY12" s="21"/>
      <c r="AZ12" s="21"/>
      <c r="BA12" s="21"/>
      <c r="BB12" s="21"/>
      <c r="BC12" s="21"/>
      <c r="BD12" s="22" t="s">
        <v>49</v>
      </c>
      <c r="BE12" s="22"/>
      <c r="BF12" s="22"/>
      <c r="BG12" s="23" t="str">
        <f aca="false">IFERROR(VLOOKUP('Cash ABC+ACZ'!BD12,Lookups111!A$4:B$38,2,FALSE()),"")</f>
        <v>Kobud rəftar</v>
      </c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7" t="n">
        <v>3</v>
      </c>
      <c r="BV12" s="27"/>
      <c r="BW12" s="27"/>
      <c r="BX12" s="27"/>
      <c r="BY12" s="27"/>
      <c r="BZ12" s="24" t="n">
        <v>8</v>
      </c>
      <c r="CA12" s="24"/>
      <c r="CB12" s="24"/>
      <c r="CC12" s="24"/>
      <c r="CD12" s="24"/>
      <c r="CE12" s="24"/>
      <c r="CF12" s="24"/>
      <c r="CG12" s="24"/>
    </row>
    <row r="13" customFormat="false" ht="57" hidden="false" customHeight="true" outlineLevel="0" collapsed="false">
      <c r="A13" s="17" t="s">
        <v>50</v>
      </c>
      <c r="B13" s="17"/>
      <c r="C13" s="17"/>
      <c r="D13" s="17"/>
      <c r="E13" s="17"/>
      <c r="F13" s="17"/>
      <c r="G13" s="18" t="s">
        <v>15</v>
      </c>
      <c r="H13" s="18"/>
      <c r="I13" s="18"/>
      <c r="J13" s="18"/>
      <c r="K13" s="19" t="s">
        <v>51</v>
      </c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0" t="s">
        <v>17</v>
      </c>
      <c r="AP13" s="20" t="s">
        <v>18</v>
      </c>
      <c r="AQ13" s="21" t="s">
        <v>19</v>
      </c>
      <c r="AR13" s="21"/>
      <c r="AS13" s="21"/>
      <c r="AT13" s="21"/>
      <c r="AU13" s="21" t="s">
        <v>52</v>
      </c>
      <c r="AV13" s="21"/>
      <c r="AW13" s="21"/>
      <c r="AX13" s="21"/>
      <c r="AY13" s="21"/>
      <c r="AZ13" s="21"/>
      <c r="BA13" s="21"/>
      <c r="BB13" s="21"/>
      <c r="BC13" s="21"/>
      <c r="BD13" s="22" t="s">
        <v>53</v>
      </c>
      <c r="BE13" s="22"/>
      <c r="BF13" s="22"/>
      <c r="BG13" s="23" t="str">
        <f aca="false">IFERROR(VLOOKUP('Cash ABC+ACZ'!BD13,Lookups111!A$4:B$38,2,FALSE()),"")</f>
        <v>Aktiv nağd kredit &lt; 50%</v>
      </c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6"/>
      <c r="BV13" s="26"/>
      <c r="BW13" s="26"/>
      <c r="BX13" s="26"/>
      <c r="BY13" s="26"/>
      <c r="BZ13" s="24" t="n">
        <v>9</v>
      </c>
      <c r="CA13" s="24"/>
      <c r="CB13" s="24"/>
      <c r="CC13" s="24"/>
      <c r="CD13" s="24"/>
      <c r="CE13" s="24"/>
      <c r="CF13" s="24"/>
      <c r="CG13" s="24"/>
    </row>
    <row r="14" customFormat="false" ht="57" hidden="false" customHeight="true" outlineLevel="0" collapsed="false">
      <c r="A14" s="17" t="s">
        <v>54</v>
      </c>
      <c r="B14" s="17"/>
      <c r="C14" s="17"/>
      <c r="D14" s="17"/>
      <c r="E14" s="17"/>
      <c r="F14" s="17"/>
      <c r="G14" s="18" t="s">
        <v>15</v>
      </c>
      <c r="H14" s="18"/>
      <c r="I14" s="18"/>
      <c r="J14" s="18"/>
      <c r="K14" s="19" t="s">
        <v>55</v>
      </c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0" t="s">
        <v>17</v>
      </c>
      <c r="AP14" s="20" t="s">
        <v>18</v>
      </c>
      <c r="AQ14" s="21" t="s">
        <v>19</v>
      </c>
      <c r="AR14" s="21"/>
      <c r="AS14" s="21"/>
      <c r="AT14" s="21"/>
      <c r="AU14" s="21" t="s">
        <v>56</v>
      </c>
      <c r="AV14" s="21"/>
      <c r="AW14" s="21"/>
      <c r="AX14" s="21"/>
      <c r="AY14" s="21"/>
      <c r="AZ14" s="21"/>
      <c r="BA14" s="21"/>
      <c r="BB14" s="21"/>
      <c r="BC14" s="21"/>
      <c r="BD14" s="22" t="s">
        <v>57</v>
      </c>
      <c r="BE14" s="22"/>
      <c r="BF14" s="22"/>
      <c r="BG14" s="23" t="str">
        <f aca="false">IFERROR(VLOOKUP('Cash ABC+ACZ'!BD14,Lookups111!A$4:B$38,2,FALSE()),"")</f>
        <v>Aktiv OnePoint krediti</v>
      </c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6"/>
      <c r="BV14" s="26"/>
      <c r="BW14" s="26"/>
      <c r="BX14" s="26"/>
      <c r="BY14" s="26"/>
      <c r="BZ14" s="24" t="n">
        <v>10</v>
      </c>
      <c r="CA14" s="24"/>
      <c r="CB14" s="24"/>
      <c r="CC14" s="24"/>
      <c r="CD14" s="24"/>
      <c r="CE14" s="24"/>
      <c r="CF14" s="24"/>
      <c r="CG14" s="24"/>
    </row>
    <row r="15" customFormat="false" ht="57" hidden="false" customHeight="true" outlineLevel="0" collapsed="false">
      <c r="A15" s="17" t="s">
        <v>58</v>
      </c>
      <c r="B15" s="17"/>
      <c r="C15" s="17"/>
      <c r="D15" s="17"/>
      <c r="E15" s="17"/>
      <c r="F15" s="17"/>
      <c r="G15" s="18" t="s">
        <v>15</v>
      </c>
      <c r="H15" s="18"/>
      <c r="I15" s="18"/>
      <c r="J15" s="18"/>
      <c r="K15" s="26" t="s">
        <v>59</v>
      </c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0" t="s">
        <v>17</v>
      </c>
      <c r="AP15" s="20" t="s">
        <v>18</v>
      </c>
      <c r="AQ15" s="21" t="s">
        <v>19</v>
      </c>
      <c r="AR15" s="21"/>
      <c r="AS15" s="21"/>
      <c r="AT15" s="21"/>
      <c r="AU15" s="21" t="s">
        <v>60</v>
      </c>
      <c r="AV15" s="21"/>
      <c r="AW15" s="21"/>
      <c r="AX15" s="21"/>
      <c r="AY15" s="21"/>
      <c r="AZ15" s="21"/>
      <c r="BA15" s="21"/>
      <c r="BB15" s="21"/>
      <c r="BC15" s="21"/>
      <c r="BD15" s="22" t="s">
        <v>61</v>
      </c>
      <c r="BE15" s="22"/>
      <c r="BF15" s="22"/>
      <c r="BG15" s="23" t="str">
        <f aca="false">IFERROR(VLOOKUP('Cash ABC+ACZ'!BD15,Lookups111!A$4:B$38,2,FALSE()),"")</f>
        <v>Cari gecikma</v>
      </c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6"/>
      <c r="BV15" s="26"/>
      <c r="BW15" s="26"/>
      <c r="BX15" s="26"/>
      <c r="BY15" s="26"/>
      <c r="BZ15" s="24" t="n">
        <v>11</v>
      </c>
      <c r="CA15" s="24"/>
      <c r="CB15" s="24"/>
      <c r="CC15" s="24"/>
      <c r="CD15" s="24"/>
      <c r="CE15" s="24"/>
      <c r="CF15" s="24"/>
      <c r="CG15" s="24"/>
    </row>
    <row r="16" s="29" customFormat="true" ht="20.25" hidden="false" customHeight="true" outlineLevel="0" collapsed="false">
      <c r="A16" s="28" t="s">
        <v>62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</row>
    <row r="17" customFormat="false" ht="15" hidden="false" customHeight="true" outlineLevel="0" collapsed="false">
      <c r="A17" s="18" t="s">
        <v>63</v>
      </c>
      <c r="B17" s="18"/>
      <c r="C17" s="18"/>
      <c r="D17" s="18"/>
      <c r="E17" s="18"/>
      <c r="F17" s="18"/>
      <c r="G17" s="18" t="s">
        <v>15</v>
      </c>
      <c r="H17" s="18"/>
      <c r="I17" s="18"/>
      <c r="J17" s="18"/>
      <c r="K17" s="23" t="s">
        <v>64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 t="s">
        <v>65</v>
      </c>
      <c r="AA17" s="23"/>
      <c r="AB17" s="23"/>
      <c r="AC17" s="23"/>
      <c r="AD17" s="23"/>
      <c r="AE17" s="23"/>
      <c r="AF17" s="23"/>
      <c r="AG17" s="23"/>
      <c r="AH17" s="23"/>
      <c r="AI17" s="30" t="n">
        <v>20</v>
      </c>
      <c r="AJ17" s="30"/>
      <c r="AK17" s="30"/>
      <c r="AL17" s="30"/>
      <c r="AM17" s="30"/>
      <c r="AN17" s="30"/>
      <c r="AO17" s="20" t="s">
        <v>66</v>
      </c>
      <c r="AP17" s="20" t="s">
        <v>18</v>
      </c>
      <c r="AQ17" s="21" t="s">
        <v>19</v>
      </c>
      <c r="AR17" s="21"/>
      <c r="AS17" s="21"/>
      <c r="AT17" s="21"/>
      <c r="AU17" s="21" t="s">
        <v>64</v>
      </c>
      <c r="AV17" s="21"/>
      <c r="AW17" s="21"/>
      <c r="AX17" s="21"/>
      <c r="AY17" s="21"/>
      <c r="AZ17" s="21"/>
      <c r="BA17" s="21"/>
      <c r="BB17" s="21"/>
      <c r="BC17" s="21"/>
      <c r="BD17" s="22" t="s">
        <v>67</v>
      </c>
      <c r="BE17" s="22"/>
      <c r="BF17" s="22"/>
      <c r="BG17" s="23" t="str">
        <f aca="false">IFERROR(VLOOKUP(BD17,Lookups111!A$4:B$38,2,FALSE()),"")</f>
        <v>Yaş həddi</v>
      </c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31"/>
      <c r="BV17" s="31"/>
      <c r="BW17" s="31"/>
      <c r="BX17" s="31"/>
      <c r="BY17" s="31"/>
      <c r="BZ17" s="32" t="n">
        <v>1</v>
      </c>
      <c r="CA17" s="32"/>
      <c r="CB17" s="32"/>
      <c r="CC17" s="32"/>
      <c r="CD17" s="32"/>
      <c r="CE17" s="32"/>
      <c r="CF17" s="32"/>
      <c r="CG17" s="32"/>
    </row>
    <row r="18" customFormat="false" ht="31.5" hidden="false" customHeight="true" outlineLevel="0" collapsed="false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 t="s">
        <v>68</v>
      </c>
      <c r="AA18" s="23"/>
      <c r="AB18" s="23"/>
      <c r="AC18" s="23"/>
      <c r="AD18" s="23"/>
      <c r="AE18" s="23"/>
      <c r="AF18" s="23"/>
      <c r="AG18" s="23"/>
      <c r="AH18" s="23"/>
      <c r="AI18" s="30" t="n">
        <v>65</v>
      </c>
      <c r="AJ18" s="30"/>
      <c r="AK18" s="30"/>
      <c r="AL18" s="30"/>
      <c r="AM18" s="30"/>
      <c r="AN18" s="30"/>
      <c r="AO18" s="20"/>
      <c r="AP18" s="20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2"/>
      <c r="BE18" s="22"/>
      <c r="BF18" s="22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31"/>
      <c r="BV18" s="31"/>
      <c r="BW18" s="31"/>
      <c r="BX18" s="31"/>
      <c r="BY18" s="31"/>
      <c r="BZ18" s="32"/>
      <c r="CA18" s="32"/>
      <c r="CB18" s="32"/>
      <c r="CC18" s="32"/>
      <c r="CD18" s="32"/>
      <c r="CE18" s="32"/>
      <c r="CF18" s="32"/>
      <c r="CG18" s="32"/>
    </row>
    <row r="19" s="29" customFormat="true" ht="20.25" hidden="false" customHeight="true" outlineLevel="0" collapsed="false">
      <c r="A19" s="28" t="s">
        <v>69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73" t="s">
        <v>11</v>
      </c>
      <c r="AP19" s="74" t="s">
        <v>12</v>
      </c>
      <c r="AQ19" s="74" t="s">
        <v>13</v>
      </c>
      <c r="AR19" s="74"/>
      <c r="AS19" s="74"/>
      <c r="AT19" s="74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</row>
    <row r="20" customFormat="false" ht="33.75" hidden="false" customHeight="true" outlineLevel="0" collapsed="false">
      <c r="A20" s="20" t="s">
        <v>70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 t="s">
        <v>75</v>
      </c>
      <c r="AP20" s="20" t="s">
        <v>66</v>
      </c>
      <c r="AQ20" s="37" t="s">
        <v>197</v>
      </c>
      <c r="AR20" s="38"/>
      <c r="AS20" s="38"/>
      <c r="AT20" s="38"/>
      <c r="AU20" s="37"/>
      <c r="AV20" s="38"/>
      <c r="AW20" s="38"/>
      <c r="AX20" s="38"/>
      <c r="AY20" s="38"/>
      <c r="AZ20" s="38"/>
      <c r="BA20" s="38"/>
      <c r="BB20" s="38"/>
      <c r="BC20" s="39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36"/>
      <c r="CG20" s="36"/>
    </row>
    <row r="21" customFormat="false" ht="33.75" hidden="false" customHeight="true" outlineLevel="0" collapsed="false">
      <c r="A21" s="20" t="s">
        <v>72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 t="s">
        <v>75</v>
      </c>
      <c r="AP21" s="20" t="s">
        <v>66</v>
      </c>
      <c r="AQ21" s="37" t="s">
        <v>198</v>
      </c>
      <c r="AR21" s="38"/>
      <c r="AS21" s="38"/>
      <c r="AT21" s="38"/>
      <c r="AU21" s="37"/>
      <c r="AV21" s="38"/>
      <c r="AW21" s="38"/>
      <c r="AX21" s="38"/>
      <c r="AY21" s="38"/>
      <c r="AZ21" s="38"/>
      <c r="BA21" s="38"/>
      <c r="BB21" s="38"/>
      <c r="BC21" s="39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6"/>
    </row>
    <row r="22" customFormat="false" ht="33.75" hidden="false" customHeight="true" outlineLevel="0" collapsed="false">
      <c r="A22" s="20" t="s">
        <v>73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 t="s">
        <v>75</v>
      </c>
      <c r="AP22" s="20" t="s">
        <v>66</v>
      </c>
      <c r="AQ22" s="37" t="s">
        <v>199</v>
      </c>
      <c r="AR22" s="38"/>
      <c r="AS22" s="38"/>
      <c r="AT22" s="38"/>
      <c r="AU22" s="37"/>
      <c r="AV22" s="38"/>
      <c r="AW22" s="38"/>
      <c r="AX22" s="38"/>
      <c r="AY22" s="38"/>
      <c r="AZ22" s="38"/>
      <c r="BA22" s="38"/>
      <c r="BB22" s="38"/>
      <c r="BC22" s="39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</row>
    <row r="23" customFormat="false" ht="33.75" hidden="false" customHeight="true" outlineLevel="0" collapsed="false">
      <c r="A23" s="20" t="s">
        <v>74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 t="s">
        <v>75</v>
      </c>
      <c r="AP23" s="20" t="s">
        <v>66</v>
      </c>
      <c r="AQ23" s="37" t="s">
        <v>76</v>
      </c>
      <c r="AR23" s="38"/>
      <c r="AS23" s="38"/>
      <c r="AT23" s="38"/>
      <c r="AU23" s="37"/>
      <c r="AV23" s="38"/>
      <c r="AW23" s="38"/>
      <c r="AX23" s="38"/>
      <c r="AY23" s="38"/>
      <c r="AZ23" s="38"/>
      <c r="BA23" s="38"/>
      <c r="BB23" s="38"/>
      <c r="BC23" s="39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  <c r="BS23" s="36"/>
      <c r="BT23" s="36"/>
      <c r="BU23" s="36"/>
      <c r="BV23" s="36"/>
      <c r="BW23" s="36"/>
      <c r="BX23" s="36"/>
      <c r="BY23" s="36"/>
      <c r="BZ23" s="36"/>
      <c r="CA23" s="36"/>
      <c r="CB23" s="36"/>
      <c r="CC23" s="36"/>
      <c r="CD23" s="36"/>
      <c r="CE23" s="36"/>
      <c r="CF23" s="36"/>
      <c r="CG23" s="36"/>
    </row>
    <row r="24" customFormat="false" ht="33.75" hidden="false" customHeight="true" outlineLevel="0" collapsed="false">
      <c r="A24" s="20" t="s">
        <v>77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 t="s">
        <v>75</v>
      </c>
      <c r="AP24" s="20" t="s">
        <v>66</v>
      </c>
      <c r="AQ24" s="37" t="s">
        <v>78</v>
      </c>
      <c r="AR24" s="38"/>
      <c r="AS24" s="38"/>
      <c r="AT24" s="38"/>
      <c r="AU24" s="37"/>
      <c r="AV24" s="38"/>
      <c r="AW24" s="38"/>
      <c r="AX24" s="38"/>
      <c r="AY24" s="38"/>
      <c r="AZ24" s="38"/>
      <c r="BA24" s="38"/>
      <c r="BB24" s="38"/>
      <c r="BC24" s="39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  <c r="BP24" s="36"/>
      <c r="BQ24" s="36"/>
      <c r="BR24" s="36"/>
      <c r="BS24" s="36"/>
      <c r="BT24" s="36"/>
      <c r="BU24" s="36"/>
      <c r="BV24" s="36"/>
      <c r="BW24" s="36"/>
      <c r="BX24" s="36"/>
      <c r="BY24" s="36"/>
      <c r="BZ24" s="36"/>
      <c r="CA24" s="36"/>
      <c r="CB24" s="36"/>
      <c r="CC24" s="36"/>
      <c r="CD24" s="36"/>
      <c r="CE24" s="36"/>
      <c r="CF24" s="36"/>
      <c r="CG24" s="36"/>
    </row>
    <row r="25" customFormat="false" ht="33.75" hidden="false" customHeight="true" outlineLevel="0" collapsed="false">
      <c r="A25" s="20" t="s">
        <v>79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 t="s">
        <v>75</v>
      </c>
      <c r="AP25" s="20" t="s">
        <v>66</v>
      </c>
      <c r="AQ25" s="37" t="s">
        <v>80</v>
      </c>
      <c r="AR25" s="38"/>
      <c r="AS25" s="38"/>
      <c r="AT25" s="38"/>
      <c r="AU25" s="37"/>
      <c r="AV25" s="38"/>
      <c r="AW25" s="38"/>
      <c r="AX25" s="38"/>
      <c r="AY25" s="38"/>
      <c r="AZ25" s="38"/>
      <c r="BA25" s="38"/>
      <c r="BB25" s="38"/>
      <c r="BC25" s="39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</row>
    <row r="26" customFormat="false" ht="33.75" hidden="false" customHeight="true" outlineLevel="0" collapsed="false">
      <c r="A26" s="20" t="s">
        <v>81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 t="s">
        <v>75</v>
      </c>
      <c r="AP26" s="20" t="s">
        <v>66</v>
      </c>
      <c r="AQ26" s="37" t="s">
        <v>82</v>
      </c>
      <c r="AR26" s="38"/>
      <c r="AS26" s="38"/>
      <c r="AT26" s="38"/>
      <c r="AU26" s="37"/>
      <c r="AV26" s="38"/>
      <c r="AW26" s="38"/>
      <c r="AX26" s="38"/>
      <c r="AY26" s="38"/>
      <c r="AZ26" s="38"/>
      <c r="BA26" s="38"/>
      <c r="BB26" s="38"/>
      <c r="BC26" s="39"/>
      <c r="BD26" s="36"/>
      <c r="BE26" s="36"/>
      <c r="BF26" s="36"/>
      <c r="BG26" s="36"/>
      <c r="BH26" s="36"/>
      <c r="BI26" s="36"/>
      <c r="BJ26" s="36"/>
      <c r="BK26" s="36"/>
      <c r="BL26" s="36"/>
      <c r="BM26" s="36"/>
      <c r="BN26" s="36"/>
      <c r="BO26" s="36"/>
      <c r="BP26" s="36"/>
      <c r="BQ26" s="36"/>
      <c r="BR26" s="36"/>
      <c r="BS26" s="36"/>
      <c r="BT26" s="36"/>
      <c r="BU26" s="36"/>
      <c r="BV26" s="36"/>
      <c r="BW26" s="36"/>
      <c r="BX26" s="36"/>
      <c r="BY26" s="36"/>
      <c r="BZ26" s="36"/>
      <c r="CA26" s="36"/>
      <c r="CB26" s="36"/>
      <c r="CC26" s="36"/>
      <c r="CD26" s="36"/>
      <c r="CE26" s="36"/>
      <c r="CF26" s="36"/>
      <c r="CG26" s="36"/>
    </row>
    <row r="27" customFormat="false" ht="33.75" hidden="false" customHeight="true" outlineLevel="0" collapsed="false">
      <c r="A27" s="20" t="s">
        <v>83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 t="s">
        <v>75</v>
      </c>
      <c r="AP27" s="20" t="s">
        <v>66</v>
      </c>
      <c r="AQ27" s="37" t="s">
        <v>84</v>
      </c>
      <c r="AR27" s="38"/>
      <c r="AS27" s="38"/>
      <c r="AT27" s="38"/>
      <c r="AU27" s="37"/>
      <c r="AV27" s="38"/>
      <c r="AW27" s="38"/>
      <c r="AX27" s="38"/>
      <c r="AY27" s="38"/>
      <c r="AZ27" s="38"/>
      <c r="BA27" s="38"/>
      <c r="BB27" s="38"/>
      <c r="BC27" s="39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  <c r="BY27" s="36"/>
      <c r="BZ27" s="36"/>
      <c r="CA27" s="36"/>
      <c r="CB27" s="36"/>
      <c r="CC27" s="36"/>
      <c r="CD27" s="36"/>
      <c r="CE27" s="36"/>
      <c r="CF27" s="36"/>
      <c r="CG27" s="36"/>
    </row>
    <row r="28" s="29" customFormat="true" ht="20.25" hidden="false" customHeight="true" outlineLevel="0" collapsed="false">
      <c r="A28" s="28" t="s">
        <v>97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28"/>
      <c r="BR28" s="28"/>
      <c r="BS28" s="28"/>
      <c r="BT28" s="28"/>
      <c r="BU28" s="28"/>
      <c r="BV28" s="28"/>
      <c r="BW28" s="28"/>
      <c r="BX28" s="28"/>
      <c r="BY28" s="28"/>
      <c r="BZ28" s="28"/>
      <c r="CA28" s="28"/>
      <c r="CB28" s="28"/>
      <c r="CC28" s="28"/>
      <c r="CD28" s="28"/>
      <c r="CE28" s="28"/>
      <c r="CF28" s="28"/>
      <c r="CG28" s="28"/>
    </row>
    <row r="29" customFormat="false" ht="21.75" hidden="false" customHeight="true" outlineLevel="0" collapsed="false">
      <c r="A29" s="18" t="s">
        <v>200</v>
      </c>
      <c r="B29" s="18"/>
      <c r="C29" s="18"/>
      <c r="D29" s="18"/>
      <c r="E29" s="18"/>
      <c r="F29" s="18"/>
      <c r="G29" s="18" t="s">
        <v>15</v>
      </c>
      <c r="H29" s="18"/>
      <c r="I29" s="18"/>
      <c r="J29" s="18"/>
      <c r="K29" s="42" t="s">
        <v>209</v>
      </c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23"/>
      <c r="AA29" s="23"/>
      <c r="AB29" s="23"/>
      <c r="AC29" s="23"/>
      <c r="AD29" s="23"/>
      <c r="AE29" s="23"/>
      <c r="AF29" s="23"/>
      <c r="AG29" s="23"/>
      <c r="AH29" s="23"/>
      <c r="AI29" s="30"/>
      <c r="AJ29" s="30"/>
      <c r="AK29" s="30"/>
      <c r="AL29" s="30"/>
      <c r="AM29" s="30"/>
      <c r="AN29" s="30"/>
      <c r="AO29" s="21" t="s">
        <v>66</v>
      </c>
      <c r="AP29" s="21" t="s">
        <v>18</v>
      </c>
      <c r="AQ29" s="21" t="s">
        <v>87</v>
      </c>
      <c r="AR29" s="21"/>
      <c r="AS29" s="21"/>
      <c r="AT29" s="21"/>
      <c r="AU29" s="21" t="s">
        <v>202</v>
      </c>
      <c r="AV29" s="21"/>
      <c r="AW29" s="21"/>
      <c r="AX29" s="21"/>
      <c r="AY29" s="21"/>
      <c r="AZ29" s="21"/>
      <c r="BA29" s="21"/>
      <c r="BB29" s="21"/>
      <c r="BC29" s="21"/>
      <c r="BD29" s="22" t="n">
        <v>340</v>
      </c>
      <c r="BE29" s="22"/>
      <c r="BF29" s="22"/>
      <c r="BG29" s="23" t="s">
        <v>202</v>
      </c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2"/>
      <c r="BV29" s="22"/>
      <c r="BW29" s="22"/>
      <c r="BX29" s="22"/>
      <c r="BY29" s="22"/>
      <c r="BZ29" s="32" t="n">
        <v>1</v>
      </c>
      <c r="CA29" s="32"/>
      <c r="CB29" s="32"/>
      <c r="CC29" s="32"/>
      <c r="CD29" s="32"/>
      <c r="CE29" s="32"/>
      <c r="CF29" s="32"/>
      <c r="CG29" s="32"/>
    </row>
    <row r="30" customFormat="false" ht="39" hidden="false" customHeight="true" outlineLevel="0" collapsed="false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23"/>
      <c r="AA30" s="23"/>
      <c r="AB30" s="23"/>
      <c r="AC30" s="23"/>
      <c r="AD30" s="23"/>
      <c r="AE30" s="23"/>
      <c r="AF30" s="23"/>
      <c r="AG30" s="23"/>
      <c r="AH30" s="23"/>
      <c r="AI30" s="30"/>
      <c r="AJ30" s="30"/>
      <c r="AK30" s="30"/>
      <c r="AL30" s="30"/>
      <c r="AM30" s="30"/>
      <c r="AN30" s="30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2"/>
      <c r="BE30" s="22"/>
      <c r="BF30" s="22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2"/>
      <c r="BV30" s="22"/>
      <c r="BW30" s="22"/>
      <c r="BX30" s="22"/>
      <c r="BY30" s="22"/>
      <c r="BZ30" s="32"/>
      <c r="CA30" s="32"/>
      <c r="CB30" s="32"/>
      <c r="CC30" s="32"/>
      <c r="CD30" s="32"/>
      <c r="CE30" s="32"/>
      <c r="CF30" s="32"/>
      <c r="CG30" s="32"/>
    </row>
    <row r="31" customFormat="false" ht="42.75" hidden="false" customHeight="true" outlineLevel="0" collapsed="false">
      <c r="A31" s="17" t="s">
        <v>203</v>
      </c>
      <c r="B31" s="17"/>
      <c r="C31" s="17"/>
      <c r="D31" s="17"/>
      <c r="E31" s="17"/>
      <c r="F31" s="17"/>
      <c r="G31" s="18" t="s">
        <v>15</v>
      </c>
      <c r="H31" s="18"/>
      <c r="I31" s="18"/>
      <c r="J31" s="18"/>
      <c r="K31" s="26" t="s">
        <v>204</v>
      </c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42"/>
      <c r="AA31" s="42"/>
      <c r="AB31" s="42"/>
      <c r="AC31" s="42"/>
      <c r="AD31" s="42"/>
      <c r="AE31" s="42"/>
      <c r="AF31" s="42"/>
      <c r="AG31" s="42"/>
      <c r="AH31" s="42"/>
      <c r="AI31" s="49"/>
      <c r="AJ31" s="49"/>
      <c r="AK31" s="49"/>
      <c r="AL31" s="49"/>
      <c r="AM31" s="49"/>
      <c r="AN31" s="49"/>
      <c r="AO31" s="37" t="s">
        <v>66</v>
      </c>
      <c r="AP31" s="37" t="s">
        <v>18</v>
      </c>
      <c r="AQ31" s="21" t="s">
        <v>87</v>
      </c>
      <c r="AR31" s="21"/>
      <c r="AS31" s="21"/>
      <c r="AT31" s="21"/>
      <c r="AU31" s="21" t="s">
        <v>205</v>
      </c>
      <c r="AV31" s="21"/>
      <c r="AW31" s="21"/>
      <c r="AX31" s="21"/>
      <c r="AY31" s="21"/>
      <c r="AZ31" s="21"/>
      <c r="BA31" s="21"/>
      <c r="BB31" s="21"/>
      <c r="BC31" s="21"/>
      <c r="BD31" s="22" t="n">
        <v>480</v>
      </c>
      <c r="BE31" s="22"/>
      <c r="BF31" s="22"/>
      <c r="BG31" s="23" t="s">
        <v>205</v>
      </c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19"/>
      <c r="BV31" s="19"/>
      <c r="BW31" s="19"/>
      <c r="BX31" s="19"/>
      <c r="BY31" s="19"/>
      <c r="BZ31" s="24" t="n">
        <v>2</v>
      </c>
      <c r="CA31" s="24"/>
      <c r="CB31" s="24"/>
      <c r="CC31" s="24"/>
      <c r="CD31" s="24"/>
      <c r="CE31" s="24"/>
      <c r="CF31" s="24"/>
      <c r="CG31" s="24"/>
    </row>
    <row r="32" customFormat="false" ht="15" hidden="false" customHeight="true" outlineLevel="0" collapsed="false">
      <c r="A32" s="18" t="s">
        <v>206</v>
      </c>
      <c r="B32" s="18"/>
      <c r="C32" s="18"/>
      <c r="D32" s="18"/>
      <c r="E32" s="18"/>
      <c r="F32" s="18"/>
      <c r="G32" s="18" t="s">
        <v>15</v>
      </c>
      <c r="H32" s="18"/>
      <c r="I32" s="18"/>
      <c r="J32" s="18"/>
      <c r="K32" s="42" t="s">
        <v>123</v>
      </c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3"/>
      <c r="AJ32" s="43"/>
      <c r="AK32" s="43"/>
      <c r="AL32" s="43"/>
      <c r="AM32" s="43"/>
      <c r="AN32" s="43"/>
      <c r="AO32" s="21" t="s">
        <v>66</v>
      </c>
      <c r="AP32" s="21" t="s">
        <v>18</v>
      </c>
      <c r="AQ32" s="21" t="s">
        <v>87</v>
      </c>
      <c r="AR32" s="21"/>
      <c r="AS32" s="21"/>
      <c r="AT32" s="21"/>
      <c r="AU32" s="21" t="s">
        <v>207</v>
      </c>
      <c r="AV32" s="21"/>
      <c r="AW32" s="21"/>
      <c r="AX32" s="21"/>
      <c r="AY32" s="21"/>
      <c r="AZ32" s="21"/>
      <c r="BA32" s="21"/>
      <c r="BB32" s="21"/>
      <c r="BC32" s="21"/>
      <c r="BD32" s="22" t="n">
        <v>371</v>
      </c>
      <c r="BE32" s="22"/>
      <c r="BF32" s="22"/>
      <c r="BG32" s="22" t="s">
        <v>207</v>
      </c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50" t="n">
        <v>3</v>
      </c>
      <c r="CA32" s="50"/>
      <c r="CB32" s="50"/>
      <c r="CC32" s="50"/>
      <c r="CD32" s="50"/>
      <c r="CE32" s="50"/>
      <c r="CF32" s="50"/>
      <c r="CG32" s="50"/>
    </row>
    <row r="33" customFormat="false" ht="15" hidden="false" customHeight="true" outlineLevel="0" collapsed="false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3"/>
      <c r="AJ33" s="43"/>
      <c r="AK33" s="43"/>
      <c r="AL33" s="43"/>
      <c r="AM33" s="43"/>
      <c r="AN33" s="43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50"/>
      <c r="CA33" s="50"/>
      <c r="CB33" s="50"/>
      <c r="CC33" s="50"/>
      <c r="CD33" s="50"/>
      <c r="CE33" s="50"/>
      <c r="CF33" s="50"/>
      <c r="CG33" s="50"/>
    </row>
    <row r="34" customFormat="false" ht="15" hidden="false" customHeight="true" outlineLevel="0" collapsed="false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1"/>
      <c r="BF34" s="61"/>
      <c r="BG34" s="61"/>
      <c r="BH34" s="61"/>
      <c r="BI34" s="61"/>
      <c r="BJ34" s="61"/>
      <c r="BK34" s="61"/>
      <c r="BL34" s="61"/>
      <c r="BM34" s="61"/>
      <c r="BN34" s="61"/>
      <c r="BO34" s="61"/>
      <c r="BP34" s="61"/>
      <c r="BQ34" s="61"/>
      <c r="BR34" s="61"/>
      <c r="BS34" s="61"/>
      <c r="BT34" s="61"/>
      <c r="BU34" s="61"/>
      <c r="BV34" s="61"/>
      <c r="BW34" s="61"/>
      <c r="BX34" s="61"/>
      <c r="BY34" s="61"/>
    </row>
    <row r="35" customFormat="false" ht="15" hidden="false" customHeight="true" outlineLevel="0" collapsed="false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1"/>
      <c r="AQ35" s="61"/>
      <c r="AR35" s="61"/>
      <c r="AS35" s="61"/>
      <c r="AT35" s="61"/>
      <c r="AU35" s="61"/>
      <c r="AV35" s="61"/>
      <c r="AW35" s="61"/>
      <c r="AX35" s="61"/>
      <c r="AY35" s="61"/>
      <c r="AZ35" s="61"/>
      <c r="BA35" s="61"/>
      <c r="BB35" s="61"/>
      <c r="BC35" s="61"/>
      <c r="BD35" s="61"/>
      <c r="BE35" s="61"/>
      <c r="BF35" s="61"/>
      <c r="BG35" s="61"/>
      <c r="BH35" s="61"/>
      <c r="BI35" s="61"/>
      <c r="BJ35" s="61"/>
      <c r="BK35" s="61"/>
      <c r="BL35" s="61"/>
      <c r="BM35" s="61"/>
      <c r="BN35" s="61"/>
      <c r="BO35" s="61"/>
      <c r="BP35" s="61"/>
      <c r="BQ35" s="61"/>
      <c r="BR35" s="61"/>
      <c r="BS35" s="61"/>
      <c r="BT35" s="61"/>
      <c r="BU35" s="61"/>
      <c r="BV35" s="61"/>
      <c r="BW35" s="61"/>
      <c r="BX35" s="61"/>
      <c r="BY35" s="61"/>
    </row>
    <row r="36" customFormat="false" ht="15" hidden="false" customHeight="true" outlineLevel="0" collapsed="false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1"/>
      <c r="AY36" s="61"/>
      <c r="AZ36" s="61"/>
      <c r="BA36" s="61"/>
      <c r="BB36" s="61"/>
      <c r="BC36" s="61"/>
      <c r="BD36" s="61"/>
      <c r="BE36" s="61"/>
      <c r="BF36" s="61"/>
      <c r="BG36" s="61"/>
      <c r="BH36" s="61"/>
      <c r="BI36" s="61"/>
      <c r="BJ36" s="61"/>
      <c r="BK36" s="61"/>
      <c r="BL36" s="61"/>
      <c r="BM36" s="61"/>
      <c r="BN36" s="61"/>
      <c r="BO36" s="61"/>
      <c r="BP36" s="61"/>
      <c r="BQ36" s="61"/>
      <c r="BR36" s="61"/>
      <c r="BS36" s="61"/>
      <c r="BT36" s="61"/>
      <c r="BU36" s="61"/>
      <c r="BV36" s="61"/>
      <c r="BW36" s="61"/>
      <c r="BX36" s="61"/>
      <c r="BY36" s="61"/>
    </row>
    <row r="37" customFormat="false" ht="15" hidden="false" customHeight="true" outlineLevel="0" collapsed="false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1"/>
      <c r="BB37" s="61"/>
      <c r="BC37" s="61"/>
      <c r="BD37" s="61"/>
      <c r="BE37" s="61"/>
      <c r="BF37" s="61"/>
      <c r="BG37" s="61"/>
      <c r="BH37" s="61"/>
      <c r="BI37" s="61"/>
      <c r="BJ37" s="61"/>
      <c r="BK37" s="61"/>
      <c r="BL37" s="61"/>
      <c r="BM37" s="61"/>
      <c r="BN37" s="61"/>
      <c r="BO37" s="61"/>
      <c r="BP37" s="61"/>
      <c r="BQ37" s="61"/>
      <c r="BR37" s="61"/>
      <c r="BS37" s="61"/>
      <c r="BT37" s="61"/>
      <c r="BU37" s="61"/>
      <c r="BV37" s="61"/>
      <c r="BW37" s="61"/>
      <c r="BX37" s="61"/>
      <c r="BY37" s="61"/>
    </row>
    <row r="38" customFormat="false" ht="15" hidden="false" customHeight="true" outlineLevel="0" collapsed="false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1"/>
      <c r="AV38" s="61"/>
      <c r="AW38" s="61"/>
      <c r="AX38" s="61"/>
      <c r="AY38" s="61"/>
      <c r="AZ38" s="61"/>
      <c r="BA38" s="61"/>
      <c r="BB38" s="61"/>
      <c r="BC38" s="61"/>
      <c r="BD38" s="61"/>
      <c r="BE38" s="61"/>
      <c r="BF38" s="61"/>
      <c r="BG38" s="61"/>
      <c r="BH38" s="61"/>
      <c r="BI38" s="61"/>
      <c r="BJ38" s="61"/>
      <c r="BK38" s="61"/>
      <c r="BL38" s="61"/>
      <c r="BM38" s="61"/>
      <c r="BN38" s="61"/>
      <c r="BO38" s="61"/>
      <c r="BP38" s="61"/>
      <c r="BQ38" s="61"/>
      <c r="BR38" s="61"/>
      <c r="BS38" s="61"/>
      <c r="BT38" s="61"/>
      <c r="BU38" s="61"/>
      <c r="BV38" s="61"/>
      <c r="BW38" s="61"/>
      <c r="BX38" s="61"/>
      <c r="BY38" s="61"/>
    </row>
    <row r="39" customFormat="false" ht="15" hidden="false" customHeight="true" outlineLevel="0" collapsed="false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1"/>
      <c r="AV39" s="61"/>
      <c r="AW39" s="61"/>
      <c r="AX39" s="61"/>
      <c r="AY39" s="61"/>
      <c r="AZ39" s="61"/>
      <c r="BA39" s="61"/>
      <c r="BB39" s="61"/>
      <c r="BC39" s="61"/>
      <c r="BD39" s="61"/>
      <c r="BE39" s="61"/>
      <c r="BF39" s="61"/>
      <c r="BG39" s="61"/>
      <c r="BH39" s="61"/>
      <c r="BI39" s="61"/>
      <c r="BJ39" s="61"/>
      <c r="BK39" s="61"/>
      <c r="BL39" s="61"/>
      <c r="BM39" s="61"/>
      <c r="BN39" s="61"/>
      <c r="BO39" s="61"/>
      <c r="BP39" s="61"/>
      <c r="BQ39" s="61"/>
      <c r="BR39" s="61"/>
      <c r="BS39" s="61"/>
      <c r="BT39" s="61"/>
      <c r="BU39" s="61"/>
      <c r="BV39" s="61"/>
      <c r="BW39" s="61"/>
      <c r="BX39" s="61"/>
      <c r="BY39" s="61"/>
    </row>
    <row r="40" customFormat="false" ht="15" hidden="false" customHeight="true" outlineLevel="0" collapsed="false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1"/>
      <c r="AV40" s="61"/>
      <c r="AW40" s="61"/>
      <c r="AX40" s="61"/>
      <c r="AY40" s="61"/>
      <c r="AZ40" s="61"/>
      <c r="BA40" s="61"/>
      <c r="BB40" s="61"/>
      <c r="BC40" s="61"/>
      <c r="BD40" s="61"/>
      <c r="BE40" s="61"/>
      <c r="BF40" s="61"/>
      <c r="BG40" s="61"/>
      <c r="BH40" s="61"/>
      <c r="BI40" s="61"/>
      <c r="BJ40" s="61"/>
      <c r="BK40" s="61"/>
      <c r="BL40" s="61"/>
      <c r="BM40" s="61"/>
      <c r="BN40" s="61"/>
      <c r="BO40" s="61"/>
      <c r="BP40" s="61"/>
      <c r="BQ40" s="61"/>
      <c r="BR40" s="61"/>
      <c r="BS40" s="61"/>
      <c r="BT40" s="61"/>
      <c r="BU40" s="61"/>
      <c r="BV40" s="61"/>
      <c r="BW40" s="61"/>
      <c r="BX40" s="61"/>
      <c r="BY40" s="61"/>
    </row>
    <row r="41" customFormat="false" ht="15" hidden="false" customHeight="true" outlineLevel="0" collapsed="false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1"/>
      <c r="AV41" s="61"/>
      <c r="AW41" s="61"/>
      <c r="AX41" s="61"/>
      <c r="AY41" s="61"/>
      <c r="AZ41" s="61"/>
      <c r="BA41" s="61"/>
      <c r="BB41" s="61"/>
      <c r="BC41" s="61"/>
      <c r="BD41" s="61"/>
      <c r="BE41" s="61"/>
      <c r="BF41" s="61"/>
      <c r="BG41" s="61"/>
      <c r="BH41" s="61"/>
      <c r="BI41" s="61"/>
      <c r="BJ41" s="61"/>
      <c r="BK41" s="61"/>
      <c r="BL41" s="61"/>
      <c r="BM41" s="61"/>
      <c r="BN41" s="61"/>
      <c r="BO41" s="61"/>
      <c r="BP41" s="61"/>
      <c r="BQ41" s="61"/>
      <c r="BR41" s="61"/>
      <c r="BS41" s="61"/>
      <c r="BT41" s="61"/>
      <c r="BU41" s="61"/>
      <c r="BV41" s="61"/>
      <c r="BW41" s="61"/>
      <c r="BX41" s="61"/>
      <c r="BY41" s="61"/>
    </row>
    <row r="42" customFormat="false" ht="15" hidden="false" customHeight="true" outlineLevel="0" collapsed="false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1"/>
      <c r="AV42" s="61"/>
      <c r="AW42" s="61"/>
      <c r="AX42" s="61"/>
      <c r="AY42" s="61"/>
      <c r="AZ42" s="61"/>
      <c r="BA42" s="61"/>
      <c r="BB42" s="61"/>
      <c r="BC42" s="61"/>
      <c r="BD42" s="61"/>
      <c r="BE42" s="61"/>
      <c r="BF42" s="61"/>
      <c r="BG42" s="61"/>
      <c r="BH42" s="61"/>
      <c r="BI42" s="61"/>
      <c r="BJ42" s="61"/>
      <c r="BK42" s="61"/>
      <c r="BL42" s="61"/>
      <c r="BM42" s="61"/>
      <c r="BN42" s="61"/>
      <c r="BO42" s="61"/>
      <c r="BP42" s="61"/>
      <c r="BQ42" s="61"/>
      <c r="BR42" s="61"/>
      <c r="BS42" s="61"/>
      <c r="BT42" s="61"/>
      <c r="BU42" s="61"/>
      <c r="BV42" s="61"/>
      <c r="BW42" s="61"/>
      <c r="BX42" s="61"/>
      <c r="BY42" s="61"/>
    </row>
    <row r="43" customFormat="false" ht="15" hidden="false" customHeight="true" outlineLevel="0" collapsed="false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61"/>
      <c r="AU43" s="61"/>
      <c r="AV43" s="61"/>
      <c r="AW43" s="61"/>
      <c r="AX43" s="61"/>
      <c r="AY43" s="61"/>
      <c r="AZ43" s="61"/>
      <c r="BA43" s="61"/>
      <c r="BB43" s="61"/>
      <c r="BC43" s="61"/>
      <c r="BD43" s="61"/>
      <c r="BE43" s="61"/>
      <c r="BF43" s="61"/>
      <c r="BG43" s="61"/>
      <c r="BH43" s="61"/>
      <c r="BI43" s="61"/>
      <c r="BJ43" s="61"/>
      <c r="BK43" s="61"/>
      <c r="BL43" s="61"/>
      <c r="BM43" s="61"/>
      <c r="BN43" s="61"/>
      <c r="BO43" s="61"/>
      <c r="BP43" s="61"/>
      <c r="BQ43" s="61"/>
      <c r="BR43" s="61"/>
      <c r="BS43" s="61"/>
      <c r="BT43" s="61"/>
      <c r="BU43" s="61"/>
      <c r="BV43" s="61"/>
      <c r="BW43" s="61"/>
      <c r="BX43" s="61"/>
      <c r="BY43" s="61"/>
    </row>
    <row r="44" customFormat="false" ht="15" hidden="false" customHeight="true" outlineLevel="0" collapsed="false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61"/>
      <c r="AL44" s="61"/>
      <c r="AM44" s="61"/>
      <c r="AN44" s="61"/>
      <c r="AO44" s="61"/>
      <c r="AP44" s="61"/>
      <c r="AQ44" s="61"/>
      <c r="AR44" s="61"/>
      <c r="AS44" s="61"/>
      <c r="AT44" s="61"/>
      <c r="AU44" s="61"/>
      <c r="AV44" s="61"/>
      <c r="AW44" s="61"/>
      <c r="AX44" s="61"/>
      <c r="AY44" s="61"/>
      <c r="AZ44" s="61"/>
      <c r="BA44" s="61"/>
      <c r="BB44" s="61"/>
      <c r="BC44" s="61"/>
      <c r="BD44" s="61"/>
      <c r="BE44" s="61"/>
      <c r="BF44" s="61"/>
      <c r="BG44" s="61"/>
      <c r="BH44" s="61"/>
      <c r="BI44" s="61"/>
      <c r="BJ44" s="61"/>
      <c r="BK44" s="61"/>
      <c r="BL44" s="61"/>
      <c r="BM44" s="61"/>
      <c r="BN44" s="61"/>
      <c r="BO44" s="61"/>
      <c r="BP44" s="61"/>
      <c r="BQ44" s="61"/>
      <c r="BR44" s="61"/>
      <c r="BS44" s="61"/>
      <c r="BT44" s="61"/>
      <c r="BU44" s="61"/>
      <c r="BV44" s="61"/>
      <c r="BW44" s="61"/>
      <c r="BX44" s="61"/>
      <c r="BY44" s="61"/>
    </row>
    <row r="45" customFormat="false" ht="15" hidden="false" customHeight="true" outlineLevel="0" collapsed="false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61"/>
      <c r="AL45" s="61"/>
      <c r="AM45" s="61"/>
      <c r="AN45" s="61"/>
      <c r="AO45" s="61"/>
      <c r="AP45" s="61"/>
      <c r="AQ45" s="61"/>
      <c r="AR45" s="61"/>
      <c r="AS45" s="61"/>
      <c r="AT45" s="61"/>
      <c r="AU45" s="61"/>
      <c r="AV45" s="61"/>
      <c r="AW45" s="61"/>
      <c r="AX45" s="61"/>
      <c r="AY45" s="61"/>
      <c r="AZ45" s="61"/>
      <c r="BA45" s="61"/>
      <c r="BB45" s="61"/>
      <c r="BC45" s="61"/>
      <c r="BD45" s="61"/>
      <c r="BE45" s="61"/>
      <c r="BF45" s="61"/>
      <c r="BG45" s="61"/>
      <c r="BH45" s="61"/>
      <c r="BI45" s="61"/>
      <c r="BJ45" s="61"/>
      <c r="BK45" s="61"/>
      <c r="BL45" s="61"/>
      <c r="BM45" s="61"/>
      <c r="BN45" s="61"/>
      <c r="BO45" s="61"/>
      <c r="BP45" s="61"/>
      <c r="BQ45" s="61"/>
      <c r="BR45" s="61"/>
      <c r="BS45" s="61"/>
      <c r="BT45" s="61"/>
      <c r="BU45" s="61"/>
      <c r="BV45" s="61"/>
      <c r="BW45" s="61"/>
      <c r="BX45" s="61"/>
      <c r="BY45" s="61"/>
    </row>
    <row r="46" customFormat="false" ht="15" hidden="false" customHeight="true" outlineLevel="0" collapsed="false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1"/>
      <c r="AL46" s="61"/>
      <c r="AM46" s="61"/>
      <c r="AN46" s="61"/>
      <c r="AO46" s="61"/>
      <c r="AP46" s="61"/>
      <c r="AQ46" s="61"/>
      <c r="AR46" s="61"/>
      <c r="AS46" s="61"/>
      <c r="AT46" s="61"/>
      <c r="AU46" s="61"/>
      <c r="AV46" s="61"/>
      <c r="AW46" s="61"/>
      <c r="AX46" s="61"/>
      <c r="AY46" s="61"/>
      <c r="AZ46" s="61"/>
      <c r="BA46" s="61"/>
      <c r="BB46" s="61"/>
      <c r="BC46" s="61"/>
      <c r="BD46" s="61"/>
      <c r="BE46" s="61"/>
      <c r="BF46" s="61"/>
      <c r="BG46" s="61"/>
      <c r="BH46" s="61"/>
      <c r="BI46" s="61"/>
      <c r="BJ46" s="61"/>
      <c r="BK46" s="61"/>
      <c r="BL46" s="61"/>
      <c r="BM46" s="61"/>
      <c r="BN46" s="61"/>
      <c r="BO46" s="61"/>
      <c r="BP46" s="61"/>
      <c r="BQ46" s="61"/>
      <c r="BR46" s="61"/>
      <c r="BS46" s="61"/>
      <c r="BT46" s="61"/>
      <c r="BU46" s="61"/>
      <c r="BV46" s="61"/>
      <c r="BW46" s="61"/>
      <c r="BX46" s="61"/>
      <c r="BY46" s="61"/>
    </row>
    <row r="47" customFormat="false" ht="15" hidden="false" customHeight="true" outlineLevel="0" collapsed="false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1"/>
      <c r="AY47" s="61"/>
      <c r="AZ47" s="61"/>
      <c r="BA47" s="61"/>
      <c r="BB47" s="61"/>
      <c r="BC47" s="61"/>
      <c r="BD47" s="61"/>
      <c r="BE47" s="61"/>
      <c r="BF47" s="61"/>
      <c r="BG47" s="61"/>
      <c r="BH47" s="61"/>
      <c r="BI47" s="61"/>
      <c r="BJ47" s="61"/>
      <c r="BK47" s="61"/>
      <c r="BL47" s="61"/>
      <c r="BM47" s="61"/>
      <c r="BN47" s="61"/>
      <c r="BO47" s="61"/>
      <c r="BP47" s="61"/>
      <c r="BQ47" s="61"/>
      <c r="BR47" s="61"/>
      <c r="BS47" s="61"/>
      <c r="BT47" s="61"/>
      <c r="BU47" s="61"/>
      <c r="BV47" s="61"/>
      <c r="BW47" s="61"/>
      <c r="BX47" s="61"/>
      <c r="BY47" s="61"/>
    </row>
    <row r="48" customFormat="false" ht="15" hidden="false" customHeight="true" outlineLevel="0" collapsed="false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1"/>
      <c r="AX48" s="61"/>
      <c r="AY48" s="61"/>
      <c r="AZ48" s="61"/>
      <c r="BA48" s="61"/>
      <c r="BB48" s="61"/>
      <c r="BC48" s="61"/>
      <c r="BD48" s="61"/>
      <c r="BE48" s="61"/>
      <c r="BF48" s="61"/>
      <c r="BG48" s="61"/>
      <c r="BH48" s="61"/>
      <c r="BI48" s="61"/>
      <c r="BJ48" s="61"/>
      <c r="BK48" s="61"/>
      <c r="BL48" s="61"/>
      <c r="BM48" s="61"/>
      <c r="BN48" s="61"/>
      <c r="BO48" s="61"/>
      <c r="BP48" s="61"/>
      <c r="BQ48" s="61"/>
      <c r="BR48" s="61"/>
      <c r="BS48" s="61"/>
      <c r="BT48" s="61"/>
      <c r="BU48" s="61"/>
      <c r="BV48" s="61"/>
      <c r="BW48" s="61"/>
      <c r="BX48" s="61"/>
      <c r="BY48" s="61"/>
    </row>
    <row r="49" customFormat="false" ht="15" hidden="false" customHeight="true" outlineLevel="0" collapsed="false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61"/>
      <c r="AX49" s="61"/>
      <c r="AY49" s="61"/>
      <c r="AZ49" s="61"/>
      <c r="BA49" s="61"/>
      <c r="BB49" s="61"/>
      <c r="BC49" s="61"/>
      <c r="BD49" s="61"/>
      <c r="BE49" s="61"/>
      <c r="BF49" s="61"/>
      <c r="BG49" s="61"/>
      <c r="BH49" s="61"/>
      <c r="BI49" s="61"/>
      <c r="BJ49" s="61"/>
      <c r="BK49" s="61"/>
      <c r="BL49" s="61"/>
      <c r="BM49" s="61"/>
      <c r="BN49" s="61"/>
      <c r="BO49" s="61"/>
      <c r="BP49" s="61"/>
      <c r="BQ49" s="61"/>
      <c r="BR49" s="61"/>
      <c r="BS49" s="61"/>
      <c r="BT49" s="61"/>
      <c r="BU49" s="61"/>
      <c r="BV49" s="61"/>
      <c r="BW49" s="61"/>
      <c r="BX49" s="61"/>
      <c r="BY49" s="61"/>
    </row>
    <row r="50" customFormat="false" ht="15" hidden="false" customHeight="true" outlineLevel="0" collapsed="false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1"/>
      <c r="AA50" s="61"/>
      <c r="AB50" s="61"/>
      <c r="AC50" s="61"/>
      <c r="AD50" s="61"/>
      <c r="AE50" s="61"/>
      <c r="AF50" s="61"/>
      <c r="AG50" s="61"/>
      <c r="AH50" s="61"/>
      <c r="AI50" s="61"/>
      <c r="AJ50" s="61"/>
      <c r="AK50" s="61"/>
      <c r="AL50" s="61"/>
      <c r="AM50" s="61"/>
      <c r="AN50" s="61"/>
      <c r="AO50" s="61"/>
      <c r="AP50" s="61"/>
      <c r="AQ50" s="61"/>
      <c r="AR50" s="61"/>
      <c r="AS50" s="61"/>
      <c r="AT50" s="61"/>
      <c r="AU50" s="61"/>
      <c r="AV50" s="61"/>
      <c r="AW50" s="61"/>
      <c r="AX50" s="61"/>
      <c r="AY50" s="61"/>
      <c r="AZ50" s="61"/>
      <c r="BA50" s="61"/>
      <c r="BB50" s="61"/>
      <c r="BC50" s="61"/>
      <c r="BD50" s="61"/>
      <c r="BE50" s="61"/>
      <c r="BF50" s="61"/>
      <c r="BG50" s="61"/>
      <c r="BH50" s="61"/>
      <c r="BI50" s="61"/>
      <c r="BJ50" s="61"/>
      <c r="BK50" s="61"/>
      <c r="BL50" s="61"/>
      <c r="BM50" s="61"/>
      <c r="BN50" s="61"/>
      <c r="BO50" s="61"/>
      <c r="BP50" s="61"/>
      <c r="BQ50" s="61"/>
      <c r="BR50" s="61"/>
      <c r="BS50" s="61"/>
      <c r="BT50" s="61"/>
      <c r="BU50" s="61"/>
      <c r="BV50" s="61"/>
      <c r="BW50" s="61"/>
      <c r="BX50" s="61"/>
      <c r="BY50" s="61"/>
    </row>
  </sheetData>
  <mergeCells count="317">
    <mergeCell ref="BD1:CG1"/>
    <mergeCell ref="A2:BC2"/>
    <mergeCell ref="BD2:CG2"/>
    <mergeCell ref="CI2:CP2"/>
    <mergeCell ref="A3:F3"/>
    <mergeCell ref="G3:J3"/>
    <mergeCell ref="K3:Y3"/>
    <mergeCell ref="Z3:AN3"/>
    <mergeCell ref="AO3:BC3"/>
    <mergeCell ref="BD3:BT3"/>
    <mergeCell ref="BU3:BY3"/>
    <mergeCell ref="BZ3:CG3"/>
    <mergeCell ref="A4:AN4"/>
    <mergeCell ref="AQ4:AT4"/>
    <mergeCell ref="AU4:BC4"/>
    <mergeCell ref="BD4:CG4"/>
    <mergeCell ref="A5:F5"/>
    <mergeCell ref="G5:J5"/>
    <mergeCell ref="K5:Y5"/>
    <mergeCell ref="Z5:AN5"/>
    <mergeCell ref="AQ5:AT5"/>
    <mergeCell ref="AU5:BC5"/>
    <mergeCell ref="BD5:BF5"/>
    <mergeCell ref="BG5:BT5"/>
    <mergeCell ref="BU5:BY5"/>
    <mergeCell ref="BZ5:CG5"/>
    <mergeCell ref="A6:F6"/>
    <mergeCell ref="G6:J6"/>
    <mergeCell ref="K6:Y6"/>
    <mergeCell ref="Z6:AN6"/>
    <mergeCell ref="AQ6:AT6"/>
    <mergeCell ref="AU6:BC6"/>
    <mergeCell ref="BD6:BF6"/>
    <mergeCell ref="BG6:BT6"/>
    <mergeCell ref="BU6:BY6"/>
    <mergeCell ref="BZ6:CG6"/>
    <mergeCell ref="A7:F7"/>
    <mergeCell ref="G7:J7"/>
    <mergeCell ref="K7:Y7"/>
    <mergeCell ref="Z7:AN7"/>
    <mergeCell ref="AQ7:AT7"/>
    <mergeCell ref="AU7:BC7"/>
    <mergeCell ref="BD7:BF7"/>
    <mergeCell ref="BG7:BT7"/>
    <mergeCell ref="BU7:BY7"/>
    <mergeCell ref="BZ7:CG7"/>
    <mergeCell ref="A8:F8"/>
    <mergeCell ref="G8:J8"/>
    <mergeCell ref="K8:Y8"/>
    <mergeCell ref="Z8:AN8"/>
    <mergeCell ref="AQ8:AT8"/>
    <mergeCell ref="AU8:BC8"/>
    <mergeCell ref="BD8:BF8"/>
    <mergeCell ref="BG8:BT8"/>
    <mergeCell ref="BU8:BY8"/>
    <mergeCell ref="BZ8:CG8"/>
    <mergeCell ref="A9:F9"/>
    <mergeCell ref="G9:J9"/>
    <mergeCell ref="K9:Y9"/>
    <mergeCell ref="Z9:AN9"/>
    <mergeCell ref="AQ9:AT9"/>
    <mergeCell ref="AU9:BC9"/>
    <mergeCell ref="BD9:BF9"/>
    <mergeCell ref="BG9:BT9"/>
    <mergeCell ref="BU9:BY9"/>
    <mergeCell ref="BZ9:CG9"/>
    <mergeCell ref="A10:F10"/>
    <mergeCell ref="G10:J10"/>
    <mergeCell ref="K10:Y10"/>
    <mergeCell ref="Z10:AN10"/>
    <mergeCell ref="AQ10:AT10"/>
    <mergeCell ref="AU10:BC10"/>
    <mergeCell ref="BD10:BF10"/>
    <mergeCell ref="BG10:BT10"/>
    <mergeCell ref="BU10:BY10"/>
    <mergeCell ref="BZ10:CG10"/>
    <mergeCell ref="A11:F11"/>
    <mergeCell ref="G11:J11"/>
    <mergeCell ref="K11:Y11"/>
    <mergeCell ref="Z11:AN11"/>
    <mergeCell ref="AQ11:AT11"/>
    <mergeCell ref="AU11:BC11"/>
    <mergeCell ref="BD11:BF11"/>
    <mergeCell ref="BG11:BT11"/>
    <mergeCell ref="BU11:BY11"/>
    <mergeCell ref="BZ11:CG11"/>
    <mergeCell ref="A12:F12"/>
    <mergeCell ref="G12:J12"/>
    <mergeCell ref="K12:Y12"/>
    <mergeCell ref="Z12:AN12"/>
    <mergeCell ref="AQ12:AT12"/>
    <mergeCell ref="AU12:BC12"/>
    <mergeCell ref="BD12:BF12"/>
    <mergeCell ref="BG12:BT12"/>
    <mergeCell ref="BU12:BY12"/>
    <mergeCell ref="BZ12:CG12"/>
    <mergeCell ref="A13:F13"/>
    <mergeCell ref="G13:J13"/>
    <mergeCell ref="K13:Y13"/>
    <mergeCell ref="Z13:AN13"/>
    <mergeCell ref="AQ13:AT13"/>
    <mergeCell ref="AU13:BC13"/>
    <mergeCell ref="BD13:BF13"/>
    <mergeCell ref="BG13:BT13"/>
    <mergeCell ref="BU13:BY13"/>
    <mergeCell ref="BZ13:CG13"/>
    <mergeCell ref="A14:F14"/>
    <mergeCell ref="G14:J14"/>
    <mergeCell ref="K14:Y14"/>
    <mergeCell ref="Z14:AN14"/>
    <mergeCell ref="AQ14:AT14"/>
    <mergeCell ref="AU14:BC14"/>
    <mergeCell ref="BD14:BF14"/>
    <mergeCell ref="BG14:BT14"/>
    <mergeCell ref="BU14:BY14"/>
    <mergeCell ref="BZ14:CG14"/>
    <mergeCell ref="A15:F15"/>
    <mergeCell ref="G15:J15"/>
    <mergeCell ref="K15:Y15"/>
    <mergeCell ref="Z15:AN15"/>
    <mergeCell ref="AQ15:AT15"/>
    <mergeCell ref="AU15:BC15"/>
    <mergeCell ref="BD15:BF15"/>
    <mergeCell ref="BG15:BT15"/>
    <mergeCell ref="BU15:BY15"/>
    <mergeCell ref="BZ15:CG15"/>
    <mergeCell ref="A16:BC16"/>
    <mergeCell ref="BD16:CG16"/>
    <mergeCell ref="A17:F18"/>
    <mergeCell ref="G17:J18"/>
    <mergeCell ref="K17:Y18"/>
    <mergeCell ref="Z17:AH17"/>
    <mergeCell ref="AI17:AN17"/>
    <mergeCell ref="AO17:AO18"/>
    <mergeCell ref="AP17:AP18"/>
    <mergeCell ref="AQ17:AT18"/>
    <mergeCell ref="AU17:BC18"/>
    <mergeCell ref="BD17:BF18"/>
    <mergeCell ref="BG17:BT18"/>
    <mergeCell ref="BU17:BY18"/>
    <mergeCell ref="BZ17:CG18"/>
    <mergeCell ref="Z18:AH18"/>
    <mergeCell ref="AI18:AN18"/>
    <mergeCell ref="A19:AN19"/>
    <mergeCell ref="AQ19:AT19"/>
    <mergeCell ref="AU19:BC19"/>
    <mergeCell ref="BD19:CG19"/>
    <mergeCell ref="A20:AN20"/>
    <mergeCell ref="A21:AN21"/>
    <mergeCell ref="A22:AN22"/>
    <mergeCell ref="A23:AN23"/>
    <mergeCell ref="A24:AN24"/>
    <mergeCell ref="A25:AN25"/>
    <mergeCell ref="A26:AN26"/>
    <mergeCell ref="A27:AN27"/>
    <mergeCell ref="A28:BC28"/>
    <mergeCell ref="BD28:CG28"/>
    <mergeCell ref="A29:F30"/>
    <mergeCell ref="G29:J30"/>
    <mergeCell ref="K29:Y30"/>
    <mergeCell ref="Z29:AH29"/>
    <mergeCell ref="AI29:AN29"/>
    <mergeCell ref="AO29:AO30"/>
    <mergeCell ref="AP29:AP30"/>
    <mergeCell ref="AQ29:AT30"/>
    <mergeCell ref="AU29:BC30"/>
    <mergeCell ref="BD29:BF30"/>
    <mergeCell ref="BG29:BT30"/>
    <mergeCell ref="BU29:BY30"/>
    <mergeCell ref="BZ29:CG30"/>
    <mergeCell ref="Z30:AH30"/>
    <mergeCell ref="AI30:AN30"/>
    <mergeCell ref="A31:F31"/>
    <mergeCell ref="G31:J31"/>
    <mergeCell ref="K31:Y31"/>
    <mergeCell ref="Z31:AH31"/>
    <mergeCell ref="AI31:AN31"/>
    <mergeCell ref="AQ31:AT31"/>
    <mergeCell ref="AU31:BC31"/>
    <mergeCell ref="BD31:BF31"/>
    <mergeCell ref="BG31:BT31"/>
    <mergeCell ref="BU31:BY31"/>
    <mergeCell ref="BZ31:CG31"/>
    <mergeCell ref="A32:F33"/>
    <mergeCell ref="G32:J33"/>
    <mergeCell ref="K32:Y33"/>
    <mergeCell ref="Z32:AH32"/>
    <mergeCell ref="AI32:AN32"/>
    <mergeCell ref="AO32:AO33"/>
    <mergeCell ref="AP32:AP33"/>
    <mergeCell ref="AQ32:AT33"/>
    <mergeCell ref="AU32:BC33"/>
    <mergeCell ref="BD32:BF33"/>
    <mergeCell ref="BG32:BT33"/>
    <mergeCell ref="BU32:BY33"/>
    <mergeCell ref="BZ32:CG33"/>
    <mergeCell ref="Z33:AH33"/>
    <mergeCell ref="AI33:AN33"/>
    <mergeCell ref="A34:F34"/>
    <mergeCell ref="G34:J34"/>
    <mergeCell ref="K34:Y34"/>
    <mergeCell ref="Z34:AN34"/>
    <mergeCell ref="AO34:BC34"/>
    <mergeCell ref="BD34:BT34"/>
    <mergeCell ref="BU34:BY34"/>
    <mergeCell ref="A35:F35"/>
    <mergeCell ref="G35:J35"/>
    <mergeCell ref="K35:Y35"/>
    <mergeCell ref="Z35:AN35"/>
    <mergeCell ref="AO35:BC35"/>
    <mergeCell ref="BD35:BT35"/>
    <mergeCell ref="BU35:BY35"/>
    <mergeCell ref="A36:F36"/>
    <mergeCell ref="G36:J36"/>
    <mergeCell ref="K36:Y36"/>
    <mergeCell ref="Z36:AN36"/>
    <mergeCell ref="AO36:BC36"/>
    <mergeCell ref="BD36:BT36"/>
    <mergeCell ref="BU36:BY36"/>
    <mergeCell ref="A37:F37"/>
    <mergeCell ref="G37:J37"/>
    <mergeCell ref="K37:Y37"/>
    <mergeCell ref="Z37:AN37"/>
    <mergeCell ref="AO37:BC37"/>
    <mergeCell ref="BD37:BT37"/>
    <mergeCell ref="BU37:BY37"/>
    <mergeCell ref="A38:F38"/>
    <mergeCell ref="G38:J38"/>
    <mergeCell ref="K38:Y38"/>
    <mergeCell ref="Z38:AN38"/>
    <mergeCell ref="AO38:BC38"/>
    <mergeCell ref="BD38:BT38"/>
    <mergeCell ref="BU38:BY38"/>
    <mergeCell ref="A39:F39"/>
    <mergeCell ref="G39:J39"/>
    <mergeCell ref="K39:Y39"/>
    <mergeCell ref="Z39:AN39"/>
    <mergeCell ref="AO39:BC39"/>
    <mergeCell ref="BD39:BT39"/>
    <mergeCell ref="BU39:BY39"/>
    <mergeCell ref="A40:F40"/>
    <mergeCell ref="G40:J40"/>
    <mergeCell ref="K40:Y40"/>
    <mergeCell ref="Z40:AN40"/>
    <mergeCell ref="AO40:BC40"/>
    <mergeCell ref="BD40:BT40"/>
    <mergeCell ref="BU40:BY40"/>
    <mergeCell ref="A41:F41"/>
    <mergeCell ref="G41:J41"/>
    <mergeCell ref="K41:Y41"/>
    <mergeCell ref="Z41:AN41"/>
    <mergeCell ref="AO41:BC41"/>
    <mergeCell ref="BD41:BT41"/>
    <mergeCell ref="BU41:BY41"/>
    <mergeCell ref="A42:F42"/>
    <mergeCell ref="G42:J42"/>
    <mergeCell ref="K42:Y42"/>
    <mergeCell ref="Z42:AN42"/>
    <mergeCell ref="AO42:BC42"/>
    <mergeCell ref="BD42:BT42"/>
    <mergeCell ref="BU42:BY42"/>
    <mergeCell ref="A43:F43"/>
    <mergeCell ref="G43:J43"/>
    <mergeCell ref="K43:Y43"/>
    <mergeCell ref="Z43:AN43"/>
    <mergeCell ref="AO43:BC43"/>
    <mergeCell ref="BD43:BT43"/>
    <mergeCell ref="BU43:BY43"/>
    <mergeCell ref="A44:F44"/>
    <mergeCell ref="G44:J44"/>
    <mergeCell ref="K44:Y44"/>
    <mergeCell ref="Z44:AN44"/>
    <mergeCell ref="AO44:BC44"/>
    <mergeCell ref="BD44:BT44"/>
    <mergeCell ref="BU44:BY44"/>
    <mergeCell ref="A45:F45"/>
    <mergeCell ref="G45:J45"/>
    <mergeCell ref="K45:Y45"/>
    <mergeCell ref="Z45:AN45"/>
    <mergeCell ref="AO45:BC45"/>
    <mergeCell ref="BD45:BT45"/>
    <mergeCell ref="BU45:BY45"/>
    <mergeCell ref="A46:F46"/>
    <mergeCell ref="G46:J46"/>
    <mergeCell ref="K46:Y46"/>
    <mergeCell ref="Z46:AN46"/>
    <mergeCell ref="AO46:BC46"/>
    <mergeCell ref="BD46:BT46"/>
    <mergeCell ref="BU46:BY46"/>
    <mergeCell ref="A47:F47"/>
    <mergeCell ref="G47:J47"/>
    <mergeCell ref="K47:Y47"/>
    <mergeCell ref="Z47:AN47"/>
    <mergeCell ref="AO47:BC47"/>
    <mergeCell ref="BD47:BT47"/>
    <mergeCell ref="BU47:BY47"/>
    <mergeCell ref="A48:F48"/>
    <mergeCell ref="G48:J48"/>
    <mergeCell ref="K48:Y48"/>
    <mergeCell ref="Z48:AN48"/>
    <mergeCell ref="AO48:BC48"/>
    <mergeCell ref="BD48:BT48"/>
    <mergeCell ref="BU48:BY48"/>
    <mergeCell ref="A49:F49"/>
    <mergeCell ref="G49:J49"/>
    <mergeCell ref="K49:Y49"/>
    <mergeCell ref="Z49:AN49"/>
    <mergeCell ref="AO49:BC49"/>
    <mergeCell ref="BD49:BT49"/>
    <mergeCell ref="BU49:BY49"/>
    <mergeCell ref="A50:F50"/>
    <mergeCell ref="G50:J50"/>
    <mergeCell ref="K50:Y50"/>
    <mergeCell ref="Z50:AN50"/>
    <mergeCell ref="AO50:BC50"/>
    <mergeCell ref="BD50:BT50"/>
    <mergeCell ref="BU50:BY50"/>
  </mergeCells>
  <conditionalFormatting sqref="G29:J31 G32">
    <cfRule type="cellIs" priority="2" operator="equal" aboveAverage="0" equalAverage="0" bottom="0" percent="0" rank="0" text="" dxfId="0">
      <formula>"İMTİNA"</formula>
    </cfRule>
  </conditionalFormatting>
  <conditionalFormatting sqref="G5:J15">
    <cfRule type="cellIs" priority="3" operator="equal" aboveAverage="0" equalAverage="0" bottom="0" percent="0" rank="0" text="" dxfId="0">
      <formula>"İMTİNA"</formula>
    </cfRule>
  </conditionalFormatting>
  <conditionalFormatting sqref="G17:J18">
    <cfRule type="cellIs" priority="4" operator="equal" aboveAverage="0" equalAverage="0" bottom="0" percent="0" rank="0" text="" dxfId="0">
      <formula>"İMTİNA"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B59"/>
  <sheetViews>
    <sheetView showFormulas="false" showGridLines="true" showRowColHeaders="true" showZeros="true" rightToLeft="false" tabSelected="true" showOutlineSymbols="true" defaultGridColor="true" view="normal" topLeftCell="A28" colorId="64" zoomScale="96" zoomScaleNormal="96" zoomScalePageLayoutView="100" workbookViewId="0">
      <selection pane="topLeft" activeCell="Z48" activeCellId="0" sqref="Z48"/>
    </sheetView>
  </sheetViews>
  <sheetFormatPr defaultColWidth="2.66796875" defaultRowHeight="14.25" customHeight="true" zeroHeight="false" outlineLevelRow="0" outlineLevelCol="0"/>
  <cols>
    <col collapsed="false" customWidth="false" hidden="false" outlineLevel="0" max="10" min="1" style="1" width="2.67"/>
    <col collapsed="false" customWidth="false" hidden="false" outlineLevel="0" max="25" min="11" style="2" width="2.67"/>
    <col collapsed="false" customWidth="false" hidden="false" outlineLevel="0" max="39" min="26" style="3" width="2.67"/>
    <col collapsed="false" customWidth="true" hidden="false" outlineLevel="0" max="40" min="40" style="3" width="8"/>
    <col collapsed="false" customWidth="true" hidden="false" outlineLevel="0" max="41" min="41" style="3" width="22.67"/>
    <col collapsed="false" customWidth="true" hidden="false" outlineLevel="0" max="42" min="42" style="3" width="19.21"/>
    <col collapsed="false" customWidth="true" hidden="false" outlineLevel="0" max="43" min="43" style="3" width="17.88"/>
    <col collapsed="false" customWidth="false" hidden="false" outlineLevel="0" max="54" min="44" style="3" width="2.67"/>
    <col collapsed="false" customWidth="true" hidden="false" outlineLevel="0" max="55" min="55" style="3" width="11.67"/>
    <col collapsed="false" customWidth="false" hidden="false" outlineLevel="0" max="77" min="56" style="3" width="2.67"/>
    <col collapsed="false" customWidth="false" hidden="false" outlineLevel="0" max="85" min="78" style="4" width="2.67"/>
  </cols>
  <sheetData>
    <row r="1" customFormat="false" ht="15" hidden="false" customHeight="true" outlineLevel="0" collapsed="false"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</row>
    <row r="2" customFormat="false" ht="30" hidden="false" customHeight="true" outlineLevel="0" collapsed="false">
      <c r="A2" s="6" t="s">
        <v>210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I2" s="7" t="s">
        <v>0</v>
      </c>
      <c r="CJ2" s="7"/>
      <c r="CK2" s="7"/>
      <c r="CL2" s="7"/>
      <c r="CM2" s="7"/>
      <c r="CN2" s="7"/>
      <c r="CO2" s="7"/>
      <c r="CP2" s="7"/>
      <c r="CR2" s="8" t="s">
        <v>1</v>
      </c>
    </row>
    <row r="3" customFormat="false" ht="75" hidden="false" customHeight="true" outlineLevel="0" collapsed="false">
      <c r="A3" s="9" t="s">
        <v>2</v>
      </c>
      <c r="B3" s="9"/>
      <c r="C3" s="9"/>
      <c r="D3" s="9"/>
      <c r="E3" s="9"/>
      <c r="F3" s="9"/>
      <c r="G3" s="9" t="s">
        <v>3</v>
      </c>
      <c r="H3" s="9"/>
      <c r="I3" s="9"/>
      <c r="J3" s="9"/>
      <c r="K3" s="10" t="s">
        <v>4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 t="s">
        <v>6</v>
      </c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1" t="s">
        <v>7</v>
      </c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 t="s">
        <v>8</v>
      </c>
      <c r="BV3" s="11"/>
      <c r="BW3" s="11"/>
      <c r="BX3" s="11"/>
      <c r="BY3" s="11"/>
      <c r="BZ3" s="9" t="s">
        <v>9</v>
      </c>
      <c r="CA3" s="9"/>
      <c r="CB3" s="9"/>
      <c r="CC3" s="9"/>
      <c r="CD3" s="9"/>
      <c r="CE3" s="9"/>
      <c r="CF3" s="9"/>
      <c r="CG3" s="9"/>
    </row>
    <row r="4" s="29" customFormat="true" ht="20.25" hidden="false" customHeight="true" outlineLevel="0" collapsed="false">
      <c r="A4" s="28" t="s">
        <v>196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44" t="s">
        <v>11</v>
      </c>
      <c r="AP4" s="45" t="s">
        <v>12</v>
      </c>
      <c r="AQ4" s="45" t="s">
        <v>13</v>
      </c>
      <c r="AR4" s="45"/>
      <c r="AS4" s="45"/>
      <c r="AT4" s="45"/>
      <c r="AU4" s="35"/>
      <c r="AV4" s="35"/>
      <c r="AW4" s="35"/>
      <c r="AX4" s="35"/>
      <c r="AY4" s="35"/>
      <c r="AZ4" s="35"/>
      <c r="BA4" s="35"/>
      <c r="BB4" s="35"/>
      <c r="BC4" s="35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</row>
    <row r="5" customFormat="false" ht="57" hidden="false" customHeight="true" outlineLevel="0" collapsed="false">
      <c r="A5" s="17" t="s">
        <v>14</v>
      </c>
      <c r="B5" s="17"/>
      <c r="C5" s="17"/>
      <c r="D5" s="17"/>
      <c r="E5" s="17"/>
      <c r="F5" s="17"/>
      <c r="G5" s="18" t="s">
        <v>15</v>
      </c>
      <c r="H5" s="18"/>
      <c r="I5" s="18"/>
      <c r="J5" s="18"/>
      <c r="K5" s="19" t="s">
        <v>16</v>
      </c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20" t="s">
        <v>185</v>
      </c>
      <c r="AP5" s="20" t="s">
        <v>18</v>
      </c>
      <c r="AQ5" s="21" t="s">
        <v>94</v>
      </c>
      <c r="AR5" s="21"/>
      <c r="AS5" s="21"/>
      <c r="AT5" s="21"/>
      <c r="AU5" s="21" t="s">
        <v>20</v>
      </c>
      <c r="AV5" s="21"/>
      <c r="AW5" s="21"/>
      <c r="AX5" s="21"/>
      <c r="AY5" s="21"/>
      <c r="AZ5" s="21"/>
      <c r="BA5" s="21"/>
      <c r="BB5" s="21"/>
      <c r="BC5" s="21"/>
      <c r="BD5" s="22" t="s">
        <v>21</v>
      </c>
      <c r="BE5" s="22"/>
      <c r="BF5" s="22"/>
      <c r="BG5" s="23" t="str">
        <f aca="false">IFERROR(VLOOKUP('Cash ABC+ACZ'!BD5,Lookups111!A$4:B$38,2,FALSE()),"")</f>
        <v>Qara siyahı</v>
      </c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19"/>
      <c r="BV5" s="19"/>
      <c r="BW5" s="19"/>
      <c r="BX5" s="19"/>
      <c r="BY5" s="19"/>
      <c r="BZ5" s="24" t="n">
        <v>1</v>
      </c>
      <c r="CA5" s="24"/>
      <c r="CB5" s="24"/>
      <c r="CC5" s="24"/>
      <c r="CD5" s="24"/>
      <c r="CE5" s="24"/>
      <c r="CF5" s="24"/>
      <c r="CG5" s="24"/>
    </row>
    <row r="6" customFormat="false" ht="57" hidden="false" customHeight="true" outlineLevel="0" collapsed="false">
      <c r="A6" s="17" t="s">
        <v>22</v>
      </c>
      <c r="B6" s="17"/>
      <c r="C6" s="17"/>
      <c r="D6" s="17"/>
      <c r="E6" s="17"/>
      <c r="F6" s="17"/>
      <c r="G6" s="18" t="s">
        <v>15</v>
      </c>
      <c r="H6" s="18"/>
      <c r="I6" s="18"/>
      <c r="J6" s="18"/>
      <c r="K6" s="19" t="s">
        <v>23</v>
      </c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20" t="s">
        <v>17</v>
      </c>
      <c r="AP6" s="20" t="s">
        <v>18</v>
      </c>
      <c r="AQ6" s="21" t="s">
        <v>19</v>
      </c>
      <c r="AR6" s="21"/>
      <c r="AS6" s="21"/>
      <c r="AT6" s="21"/>
      <c r="AU6" s="21" t="s">
        <v>24</v>
      </c>
      <c r="AV6" s="21"/>
      <c r="AW6" s="21"/>
      <c r="AX6" s="21"/>
      <c r="AY6" s="21"/>
      <c r="AZ6" s="21"/>
      <c r="BA6" s="21"/>
      <c r="BB6" s="21"/>
      <c r="BC6" s="21"/>
      <c r="BD6" s="22" t="s">
        <v>25</v>
      </c>
      <c r="BE6" s="22"/>
      <c r="BF6" s="22"/>
      <c r="BG6" s="23" t="str">
        <f aca="false">IFERROR(VLOOKUP('Cash ABC+ACZ'!BD6,Lookups111!A$4:B$38,2,FALSE()),"")</f>
        <v>Gəliri kifayət etmir</v>
      </c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5" t="n">
        <v>15</v>
      </c>
      <c r="BV6" s="25"/>
      <c r="BW6" s="25"/>
      <c r="BX6" s="25"/>
      <c r="BY6" s="25"/>
      <c r="BZ6" s="24" t="n">
        <v>2</v>
      </c>
      <c r="CA6" s="24"/>
      <c r="CB6" s="24"/>
      <c r="CC6" s="24"/>
      <c r="CD6" s="24"/>
      <c r="CE6" s="24"/>
      <c r="CF6" s="24"/>
      <c r="CG6" s="24"/>
    </row>
    <row r="7" customFormat="false" ht="57" hidden="false" customHeight="true" outlineLevel="0" collapsed="false">
      <c r="A7" s="17" t="s">
        <v>26</v>
      </c>
      <c r="B7" s="17"/>
      <c r="C7" s="17"/>
      <c r="D7" s="17"/>
      <c r="E7" s="17"/>
      <c r="F7" s="17"/>
      <c r="G7" s="18" t="s">
        <v>15</v>
      </c>
      <c r="H7" s="18"/>
      <c r="I7" s="18"/>
      <c r="J7" s="18"/>
      <c r="K7" s="26" t="s">
        <v>27</v>
      </c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0" t="s">
        <v>17</v>
      </c>
      <c r="AP7" s="20" t="s">
        <v>18</v>
      </c>
      <c r="AQ7" s="21" t="s">
        <v>19</v>
      </c>
      <c r="AR7" s="21"/>
      <c r="AS7" s="21"/>
      <c r="AT7" s="21"/>
      <c r="AU7" s="21" t="s">
        <v>28</v>
      </c>
      <c r="AV7" s="21"/>
      <c r="AW7" s="21"/>
      <c r="AX7" s="21"/>
      <c r="AY7" s="21"/>
      <c r="AZ7" s="21"/>
      <c r="BA7" s="21"/>
      <c r="BB7" s="21"/>
      <c r="BC7" s="21"/>
      <c r="BD7" s="22" t="s">
        <v>29</v>
      </c>
      <c r="BE7" s="22"/>
      <c r="BF7" s="22"/>
      <c r="BG7" s="23" t="str">
        <f aca="false">IFERROR(VLOOKUP('Cash ABC+ACZ'!BD7,Lookups111!A$4:B$38,2,FALSE()),"")</f>
        <v>Mənfi kredit tarixçəsi</v>
      </c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7" t="n">
        <v>90</v>
      </c>
      <c r="BV7" s="27"/>
      <c r="BW7" s="27"/>
      <c r="BX7" s="27"/>
      <c r="BY7" s="27"/>
      <c r="BZ7" s="24" t="n">
        <v>3</v>
      </c>
      <c r="CA7" s="24"/>
      <c r="CB7" s="24"/>
      <c r="CC7" s="24"/>
      <c r="CD7" s="24"/>
      <c r="CE7" s="24"/>
      <c r="CF7" s="24"/>
      <c r="CG7" s="24"/>
    </row>
    <row r="8" customFormat="false" ht="57" hidden="false" customHeight="true" outlineLevel="0" collapsed="false">
      <c r="A8" s="17" t="s">
        <v>30</v>
      </c>
      <c r="B8" s="17"/>
      <c r="C8" s="17"/>
      <c r="D8" s="17"/>
      <c r="E8" s="17"/>
      <c r="F8" s="17"/>
      <c r="G8" s="18" t="s">
        <v>15</v>
      </c>
      <c r="H8" s="18"/>
      <c r="I8" s="18"/>
      <c r="J8" s="18"/>
      <c r="K8" s="26" t="s">
        <v>31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0" t="s">
        <v>17</v>
      </c>
      <c r="AP8" s="20" t="s">
        <v>18</v>
      </c>
      <c r="AQ8" s="21" t="s">
        <v>19</v>
      </c>
      <c r="AR8" s="21"/>
      <c r="AS8" s="21"/>
      <c r="AT8" s="21"/>
      <c r="AU8" s="21" t="s">
        <v>32</v>
      </c>
      <c r="AV8" s="21"/>
      <c r="AW8" s="21"/>
      <c r="AX8" s="21"/>
      <c r="AY8" s="21"/>
      <c r="AZ8" s="21"/>
      <c r="BA8" s="21"/>
      <c r="BB8" s="21"/>
      <c r="BC8" s="21"/>
      <c r="BD8" s="22" t="s">
        <v>33</v>
      </c>
      <c r="BE8" s="22"/>
      <c r="BF8" s="22"/>
      <c r="BG8" s="23" t="str">
        <f aca="false">IFERROR(VLOOKUP('Cash ABC+ACZ'!BD8,Lookups111!A$4:B$38,2,FALSE()),"")</f>
        <v>Ailə üzvlərinin mənfi tarixçəsi</v>
      </c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7" t="n">
        <v>15</v>
      </c>
      <c r="BV8" s="27"/>
      <c r="BW8" s="27"/>
      <c r="BX8" s="27"/>
      <c r="BY8" s="27"/>
      <c r="BZ8" s="24" t="n">
        <v>4</v>
      </c>
      <c r="CA8" s="24"/>
      <c r="CB8" s="24"/>
      <c r="CC8" s="24"/>
      <c r="CD8" s="24"/>
      <c r="CE8" s="24"/>
      <c r="CF8" s="24"/>
      <c r="CG8" s="24"/>
    </row>
    <row r="9" customFormat="false" ht="57" hidden="false" customHeight="true" outlineLevel="0" collapsed="false">
      <c r="A9" s="17" t="s">
        <v>34</v>
      </c>
      <c r="B9" s="17"/>
      <c r="C9" s="17"/>
      <c r="D9" s="17"/>
      <c r="E9" s="17"/>
      <c r="F9" s="17"/>
      <c r="G9" s="18" t="s">
        <v>15</v>
      </c>
      <c r="H9" s="18"/>
      <c r="I9" s="18"/>
      <c r="J9" s="18"/>
      <c r="K9" s="26" t="s">
        <v>35</v>
      </c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0" t="s">
        <v>17</v>
      </c>
      <c r="AP9" s="20" t="s">
        <v>18</v>
      </c>
      <c r="AQ9" s="21" t="s">
        <v>19</v>
      </c>
      <c r="AR9" s="21"/>
      <c r="AS9" s="21"/>
      <c r="AT9" s="21"/>
      <c r="AU9" s="21" t="s">
        <v>36</v>
      </c>
      <c r="AV9" s="21"/>
      <c r="AW9" s="21"/>
      <c r="AX9" s="21"/>
      <c r="AY9" s="21"/>
      <c r="AZ9" s="21"/>
      <c r="BA9" s="21"/>
      <c r="BB9" s="21"/>
      <c r="BC9" s="21"/>
      <c r="BD9" s="22" t="s">
        <v>37</v>
      </c>
      <c r="BE9" s="22"/>
      <c r="BF9" s="22"/>
      <c r="BG9" s="23" t="str">
        <f aca="false">IFERROR(VLOOKUP('Cash ABC+ACZ'!BD9,Lookups111!A$4:B$38,2,FALSE()),"")</f>
        <v>Yalan məlumat</v>
      </c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7" t="n">
        <v>15</v>
      </c>
      <c r="BV9" s="27"/>
      <c r="BW9" s="27"/>
      <c r="BX9" s="27"/>
      <c r="BY9" s="27"/>
      <c r="BZ9" s="24" t="n">
        <v>5</v>
      </c>
      <c r="CA9" s="24"/>
      <c r="CB9" s="24"/>
      <c r="CC9" s="24"/>
      <c r="CD9" s="24"/>
      <c r="CE9" s="24"/>
      <c r="CF9" s="24"/>
      <c r="CG9" s="24"/>
    </row>
    <row r="10" customFormat="false" ht="57" hidden="false" customHeight="true" outlineLevel="0" collapsed="false">
      <c r="A10" s="17" t="s">
        <v>38</v>
      </c>
      <c r="B10" s="17"/>
      <c r="C10" s="17"/>
      <c r="D10" s="17"/>
      <c r="E10" s="17"/>
      <c r="F10" s="17"/>
      <c r="G10" s="18" t="s">
        <v>15</v>
      </c>
      <c r="H10" s="18"/>
      <c r="I10" s="18"/>
      <c r="J10" s="18"/>
      <c r="K10" s="26" t="s">
        <v>39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0" t="s">
        <v>17</v>
      </c>
      <c r="AP10" s="20" t="s">
        <v>18</v>
      </c>
      <c r="AQ10" s="21" t="s">
        <v>19</v>
      </c>
      <c r="AR10" s="21"/>
      <c r="AS10" s="21"/>
      <c r="AT10" s="21"/>
      <c r="AU10" s="21" t="s">
        <v>40</v>
      </c>
      <c r="AV10" s="21"/>
      <c r="AW10" s="21"/>
      <c r="AX10" s="21"/>
      <c r="AY10" s="21"/>
      <c r="AZ10" s="21"/>
      <c r="BA10" s="21"/>
      <c r="BB10" s="21"/>
      <c r="BC10" s="21"/>
      <c r="BD10" s="22" t="s">
        <v>41</v>
      </c>
      <c r="BE10" s="22"/>
      <c r="BF10" s="22"/>
      <c r="BG10" s="23" t="str">
        <f aca="false">IFERROR(VLOOKUP('Cash ABC+ACZ'!BD10,Lookups111!A$4:B$38,2,FALSE()),"")</f>
        <v>Borc yüklülüyü çoxdur</v>
      </c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7" t="n">
        <v>3</v>
      </c>
      <c r="BV10" s="27"/>
      <c r="BW10" s="27"/>
      <c r="BX10" s="27"/>
      <c r="BY10" s="27"/>
      <c r="BZ10" s="24" t="n">
        <v>6</v>
      </c>
      <c r="CA10" s="24"/>
      <c r="CB10" s="24"/>
      <c r="CC10" s="24"/>
      <c r="CD10" s="24"/>
      <c r="CE10" s="24"/>
      <c r="CF10" s="24"/>
      <c r="CG10" s="24"/>
    </row>
    <row r="11" customFormat="false" ht="57" hidden="false" customHeight="true" outlineLevel="0" collapsed="false">
      <c r="A11" s="17" t="s">
        <v>42</v>
      </c>
      <c r="B11" s="17"/>
      <c r="C11" s="17"/>
      <c r="D11" s="17"/>
      <c r="E11" s="17"/>
      <c r="F11" s="17"/>
      <c r="G11" s="18" t="s">
        <v>15</v>
      </c>
      <c r="H11" s="18"/>
      <c r="I11" s="18"/>
      <c r="J11" s="18"/>
      <c r="K11" s="26" t="s">
        <v>43</v>
      </c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0" t="s">
        <v>17</v>
      </c>
      <c r="AP11" s="20" t="s">
        <v>18</v>
      </c>
      <c r="AQ11" s="21" t="s">
        <v>19</v>
      </c>
      <c r="AR11" s="21"/>
      <c r="AS11" s="21"/>
      <c r="AT11" s="21"/>
      <c r="AU11" s="21" t="s">
        <v>44</v>
      </c>
      <c r="AV11" s="21"/>
      <c r="AW11" s="21"/>
      <c r="AX11" s="21"/>
      <c r="AY11" s="21"/>
      <c r="AZ11" s="21"/>
      <c r="BA11" s="21"/>
      <c r="BB11" s="21"/>
      <c r="BC11" s="21"/>
      <c r="BD11" s="22" t="s">
        <v>45</v>
      </c>
      <c r="BE11" s="22"/>
      <c r="BF11" s="22"/>
      <c r="BG11" s="23" t="str">
        <f aca="false">IFERROR(VLOOKUP('Cash ABC+ACZ'!BD11,Lookups111!A$4:B$38,2,FALSE()),"")</f>
        <v>Əmək stajı azdır</v>
      </c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7" t="n">
        <v>3</v>
      </c>
      <c r="BV11" s="27"/>
      <c r="BW11" s="27"/>
      <c r="BX11" s="27"/>
      <c r="BY11" s="27"/>
      <c r="BZ11" s="24" t="n">
        <v>7</v>
      </c>
      <c r="CA11" s="24"/>
      <c r="CB11" s="24"/>
      <c r="CC11" s="24"/>
      <c r="CD11" s="24"/>
      <c r="CE11" s="24"/>
      <c r="CF11" s="24"/>
      <c r="CG11" s="24"/>
    </row>
    <row r="12" customFormat="false" ht="57" hidden="false" customHeight="true" outlineLevel="0" collapsed="false">
      <c r="A12" s="17" t="s">
        <v>46</v>
      </c>
      <c r="B12" s="17"/>
      <c r="C12" s="17"/>
      <c r="D12" s="17"/>
      <c r="E12" s="17"/>
      <c r="F12" s="17"/>
      <c r="G12" s="18" t="s">
        <v>15</v>
      </c>
      <c r="H12" s="18"/>
      <c r="I12" s="18"/>
      <c r="J12" s="18"/>
      <c r="K12" s="26" t="s">
        <v>47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0" t="s">
        <v>17</v>
      </c>
      <c r="AP12" s="20" t="s">
        <v>18</v>
      </c>
      <c r="AQ12" s="21" t="s">
        <v>19</v>
      </c>
      <c r="AR12" s="21"/>
      <c r="AS12" s="21"/>
      <c r="AT12" s="21"/>
      <c r="AU12" s="21" t="s">
        <v>48</v>
      </c>
      <c r="AV12" s="21"/>
      <c r="AW12" s="21"/>
      <c r="AX12" s="21"/>
      <c r="AY12" s="21"/>
      <c r="AZ12" s="21"/>
      <c r="BA12" s="21"/>
      <c r="BB12" s="21"/>
      <c r="BC12" s="21"/>
      <c r="BD12" s="22" t="s">
        <v>49</v>
      </c>
      <c r="BE12" s="22"/>
      <c r="BF12" s="22"/>
      <c r="BG12" s="23" t="str">
        <f aca="false">IFERROR(VLOOKUP('Cash ABC+ACZ'!BD12,Lookups111!A$4:B$38,2,FALSE()),"")</f>
        <v>Kobud rəftar</v>
      </c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7" t="n">
        <v>3</v>
      </c>
      <c r="BV12" s="27"/>
      <c r="BW12" s="27"/>
      <c r="BX12" s="27"/>
      <c r="BY12" s="27"/>
      <c r="BZ12" s="24" t="n">
        <v>8</v>
      </c>
      <c r="CA12" s="24"/>
      <c r="CB12" s="24"/>
      <c r="CC12" s="24"/>
      <c r="CD12" s="24"/>
      <c r="CE12" s="24"/>
      <c r="CF12" s="24"/>
      <c r="CG12" s="24"/>
    </row>
    <row r="13" customFormat="false" ht="57" hidden="false" customHeight="true" outlineLevel="0" collapsed="false">
      <c r="A13" s="17" t="s">
        <v>50</v>
      </c>
      <c r="B13" s="17"/>
      <c r="C13" s="17"/>
      <c r="D13" s="17"/>
      <c r="E13" s="17"/>
      <c r="F13" s="17"/>
      <c r="G13" s="18" t="s">
        <v>15</v>
      </c>
      <c r="H13" s="18"/>
      <c r="I13" s="18"/>
      <c r="J13" s="18"/>
      <c r="K13" s="19" t="s">
        <v>51</v>
      </c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0" t="s">
        <v>17</v>
      </c>
      <c r="AP13" s="20" t="s">
        <v>18</v>
      </c>
      <c r="AQ13" s="21" t="s">
        <v>19</v>
      </c>
      <c r="AR13" s="21"/>
      <c r="AS13" s="21"/>
      <c r="AT13" s="21"/>
      <c r="AU13" s="21" t="s">
        <v>52</v>
      </c>
      <c r="AV13" s="21"/>
      <c r="AW13" s="21"/>
      <c r="AX13" s="21"/>
      <c r="AY13" s="21"/>
      <c r="AZ13" s="21"/>
      <c r="BA13" s="21"/>
      <c r="BB13" s="21"/>
      <c r="BC13" s="21"/>
      <c r="BD13" s="22" t="s">
        <v>53</v>
      </c>
      <c r="BE13" s="22"/>
      <c r="BF13" s="22"/>
      <c r="BG13" s="23" t="str">
        <f aca="false">IFERROR(VLOOKUP('Cash ABC+ACZ'!BD13,Lookups111!A$4:B$38,2,FALSE()),"")</f>
        <v>Aktiv nağd kredit &lt; 50%</v>
      </c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6"/>
      <c r="BV13" s="26"/>
      <c r="BW13" s="26"/>
      <c r="BX13" s="26"/>
      <c r="BY13" s="26"/>
      <c r="BZ13" s="24" t="n">
        <v>9</v>
      </c>
      <c r="CA13" s="24"/>
      <c r="CB13" s="24"/>
      <c r="CC13" s="24"/>
      <c r="CD13" s="24"/>
      <c r="CE13" s="24"/>
      <c r="CF13" s="24"/>
      <c r="CG13" s="24"/>
    </row>
    <row r="14" customFormat="false" ht="57" hidden="false" customHeight="true" outlineLevel="0" collapsed="false">
      <c r="A14" s="17" t="s">
        <v>54</v>
      </c>
      <c r="B14" s="17"/>
      <c r="C14" s="17"/>
      <c r="D14" s="17"/>
      <c r="E14" s="17"/>
      <c r="F14" s="17"/>
      <c r="G14" s="18" t="s">
        <v>15</v>
      </c>
      <c r="H14" s="18"/>
      <c r="I14" s="18"/>
      <c r="J14" s="18"/>
      <c r="K14" s="19" t="s">
        <v>55</v>
      </c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0" t="s">
        <v>185</v>
      </c>
      <c r="AP14" s="20" t="s">
        <v>18</v>
      </c>
      <c r="AQ14" s="21" t="s">
        <v>94</v>
      </c>
      <c r="AR14" s="21"/>
      <c r="AS14" s="21"/>
      <c r="AT14" s="21"/>
      <c r="AU14" s="21" t="s">
        <v>56</v>
      </c>
      <c r="AV14" s="21"/>
      <c r="AW14" s="21"/>
      <c r="AX14" s="21"/>
      <c r="AY14" s="21"/>
      <c r="AZ14" s="21"/>
      <c r="BA14" s="21"/>
      <c r="BB14" s="21"/>
      <c r="BC14" s="21"/>
      <c r="BD14" s="22" t="s">
        <v>57</v>
      </c>
      <c r="BE14" s="22"/>
      <c r="BF14" s="22"/>
      <c r="BG14" s="23" t="str">
        <f aca="false">IFERROR(VLOOKUP('Cash ABC+ACZ'!BD14,Lookups111!A$4:B$38,2,FALSE()),"")</f>
        <v>Aktiv OnePoint krediti</v>
      </c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6"/>
      <c r="BV14" s="26"/>
      <c r="BW14" s="26"/>
      <c r="BX14" s="26"/>
      <c r="BY14" s="26"/>
      <c r="BZ14" s="24" t="n">
        <v>10</v>
      </c>
      <c r="CA14" s="24"/>
      <c r="CB14" s="24"/>
      <c r="CC14" s="24"/>
      <c r="CD14" s="24"/>
      <c r="CE14" s="24"/>
      <c r="CF14" s="24"/>
      <c r="CG14" s="24"/>
    </row>
    <row r="15" customFormat="false" ht="57" hidden="false" customHeight="true" outlineLevel="0" collapsed="false">
      <c r="A15" s="17" t="s">
        <v>58</v>
      </c>
      <c r="B15" s="17"/>
      <c r="C15" s="17"/>
      <c r="D15" s="17"/>
      <c r="E15" s="17"/>
      <c r="F15" s="17"/>
      <c r="G15" s="18" t="s">
        <v>15</v>
      </c>
      <c r="H15" s="18"/>
      <c r="I15" s="18"/>
      <c r="J15" s="18"/>
      <c r="K15" s="26" t="s">
        <v>59</v>
      </c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0" t="s">
        <v>185</v>
      </c>
      <c r="AP15" s="20" t="s">
        <v>18</v>
      </c>
      <c r="AQ15" s="21" t="s">
        <v>94</v>
      </c>
      <c r="AR15" s="21"/>
      <c r="AS15" s="21"/>
      <c r="AT15" s="21"/>
      <c r="AU15" s="21" t="s">
        <v>60</v>
      </c>
      <c r="AV15" s="21"/>
      <c r="AW15" s="21"/>
      <c r="AX15" s="21"/>
      <c r="AY15" s="21"/>
      <c r="AZ15" s="21"/>
      <c r="BA15" s="21"/>
      <c r="BB15" s="21"/>
      <c r="BC15" s="21"/>
      <c r="BD15" s="22" t="s">
        <v>61</v>
      </c>
      <c r="BE15" s="22"/>
      <c r="BF15" s="22"/>
      <c r="BG15" s="23" t="str">
        <f aca="false">IFERROR(VLOOKUP('Cash ABC+ACZ'!BD15,Lookups111!A$4:B$38,2,FALSE()),"")</f>
        <v>Cari gecikma</v>
      </c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6"/>
      <c r="BV15" s="26"/>
      <c r="BW15" s="26"/>
      <c r="BX15" s="26"/>
      <c r="BY15" s="26"/>
      <c r="BZ15" s="24" t="n">
        <v>11</v>
      </c>
      <c r="CA15" s="24"/>
      <c r="CB15" s="24"/>
      <c r="CC15" s="24"/>
      <c r="CD15" s="24"/>
      <c r="CE15" s="24"/>
      <c r="CF15" s="24"/>
      <c r="CG15" s="24"/>
    </row>
    <row r="16" customFormat="false" ht="57" hidden="false" customHeight="true" outlineLevel="0" collapsed="false">
      <c r="A16" s="17"/>
      <c r="B16" s="17"/>
      <c r="C16" s="17"/>
      <c r="D16" s="17"/>
      <c r="E16" s="17"/>
      <c r="F16" s="17"/>
      <c r="G16" s="18" t="s">
        <v>15</v>
      </c>
      <c r="H16" s="18"/>
      <c r="I16" s="18"/>
      <c r="J16" s="18"/>
      <c r="K16" s="26" t="s">
        <v>211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0" t="s">
        <v>17</v>
      </c>
      <c r="AP16" s="20" t="s">
        <v>18</v>
      </c>
      <c r="AQ16" s="21" t="s">
        <v>19</v>
      </c>
      <c r="AR16" s="21"/>
      <c r="AS16" s="21"/>
      <c r="AT16" s="21"/>
      <c r="AU16" s="21" t="s">
        <v>211</v>
      </c>
      <c r="AV16" s="21"/>
      <c r="AW16" s="21"/>
      <c r="AX16" s="21"/>
      <c r="AY16" s="21"/>
      <c r="AZ16" s="21"/>
      <c r="BA16" s="21"/>
      <c r="BB16" s="21"/>
      <c r="BC16" s="21"/>
      <c r="BD16" s="22" t="s">
        <v>61</v>
      </c>
      <c r="BE16" s="22"/>
      <c r="BF16" s="22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6"/>
      <c r="BV16" s="26"/>
      <c r="BW16" s="26"/>
      <c r="BX16" s="26"/>
      <c r="BY16" s="26"/>
      <c r="BZ16" s="24" t="n">
        <v>11</v>
      </c>
      <c r="CA16" s="24"/>
      <c r="CB16" s="24"/>
      <c r="CC16" s="24"/>
      <c r="CD16" s="24"/>
      <c r="CE16" s="24"/>
      <c r="CF16" s="24"/>
      <c r="CG16" s="24"/>
    </row>
    <row r="17" s="29" customFormat="true" ht="20.25" hidden="false" customHeight="true" outlineLevel="0" collapsed="false">
      <c r="A17" s="28" t="s">
        <v>62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</row>
    <row r="18" customFormat="false" ht="15" hidden="false" customHeight="true" outlineLevel="0" collapsed="false">
      <c r="A18" s="18" t="s">
        <v>63</v>
      </c>
      <c r="B18" s="18"/>
      <c r="C18" s="18"/>
      <c r="D18" s="18"/>
      <c r="E18" s="18"/>
      <c r="F18" s="18"/>
      <c r="G18" s="18" t="s">
        <v>15</v>
      </c>
      <c r="H18" s="18"/>
      <c r="I18" s="18"/>
      <c r="J18" s="18"/>
      <c r="K18" s="23" t="s">
        <v>64</v>
      </c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 t="s">
        <v>65</v>
      </c>
      <c r="AA18" s="23"/>
      <c r="AB18" s="23"/>
      <c r="AC18" s="23"/>
      <c r="AD18" s="23"/>
      <c r="AE18" s="23"/>
      <c r="AF18" s="23"/>
      <c r="AG18" s="23"/>
      <c r="AH18" s="23"/>
      <c r="AI18" s="30" t="n">
        <v>20</v>
      </c>
      <c r="AJ18" s="30"/>
      <c r="AK18" s="30"/>
      <c r="AL18" s="30"/>
      <c r="AM18" s="30"/>
      <c r="AN18" s="30"/>
      <c r="AO18" s="20" t="s">
        <v>185</v>
      </c>
      <c r="AP18" s="20" t="s">
        <v>18</v>
      </c>
      <c r="AQ18" s="21" t="s">
        <v>94</v>
      </c>
      <c r="AR18" s="21"/>
      <c r="AS18" s="21"/>
      <c r="AT18" s="21"/>
      <c r="AU18" s="21" t="s">
        <v>64</v>
      </c>
      <c r="AV18" s="21"/>
      <c r="AW18" s="21"/>
      <c r="AX18" s="21"/>
      <c r="AY18" s="21"/>
      <c r="AZ18" s="21"/>
      <c r="BA18" s="21"/>
      <c r="BB18" s="21"/>
      <c r="BC18" s="21"/>
      <c r="BD18" s="22" t="s">
        <v>67</v>
      </c>
      <c r="BE18" s="22"/>
      <c r="BF18" s="22"/>
      <c r="BG18" s="23" t="str">
        <f aca="false">IFERROR(VLOOKUP(BD18,Lookups111!A$4:B$38,2,FALSE()),"")</f>
        <v>Yaş həddi</v>
      </c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31"/>
      <c r="BV18" s="31"/>
      <c r="BW18" s="31"/>
      <c r="BX18" s="31"/>
      <c r="BY18" s="31"/>
      <c r="BZ18" s="32" t="n">
        <v>1</v>
      </c>
      <c r="CA18" s="32"/>
      <c r="CB18" s="32"/>
      <c r="CC18" s="32"/>
      <c r="CD18" s="32"/>
      <c r="CE18" s="32"/>
      <c r="CF18" s="32"/>
      <c r="CG18" s="32"/>
    </row>
    <row r="19" customFormat="false" ht="36" hidden="false" customHeight="true" outlineLevel="0" collapsed="false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 t="s">
        <v>68</v>
      </c>
      <c r="AA19" s="23"/>
      <c r="AB19" s="23"/>
      <c r="AC19" s="23"/>
      <c r="AD19" s="23"/>
      <c r="AE19" s="23"/>
      <c r="AF19" s="23"/>
      <c r="AG19" s="23"/>
      <c r="AH19" s="23"/>
      <c r="AI19" s="30" t="n">
        <v>65</v>
      </c>
      <c r="AJ19" s="30"/>
      <c r="AK19" s="30"/>
      <c r="AL19" s="30"/>
      <c r="AM19" s="30"/>
      <c r="AN19" s="30"/>
      <c r="AO19" s="20"/>
      <c r="AP19" s="20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2"/>
      <c r="BE19" s="22"/>
      <c r="BF19" s="22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31"/>
      <c r="BV19" s="31"/>
      <c r="BW19" s="31"/>
      <c r="BX19" s="31"/>
      <c r="BY19" s="31"/>
      <c r="BZ19" s="32"/>
      <c r="CA19" s="32"/>
      <c r="CB19" s="32"/>
      <c r="CC19" s="32"/>
      <c r="CD19" s="32"/>
      <c r="CE19" s="32"/>
      <c r="CF19" s="32"/>
      <c r="CG19" s="32"/>
    </row>
    <row r="20" s="29" customFormat="true" ht="20.25" hidden="false" customHeight="true" outlineLevel="0" collapsed="false">
      <c r="A20" s="28" t="s">
        <v>69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33" t="s">
        <v>11</v>
      </c>
      <c r="AP20" s="34" t="s">
        <v>12</v>
      </c>
      <c r="AQ20" s="34" t="s">
        <v>13</v>
      </c>
      <c r="AR20" s="34"/>
      <c r="AS20" s="34"/>
      <c r="AT20" s="34"/>
      <c r="AU20" s="35"/>
      <c r="AV20" s="35"/>
      <c r="AW20" s="35"/>
      <c r="AX20" s="35"/>
      <c r="AY20" s="35"/>
      <c r="AZ20" s="35"/>
      <c r="BA20" s="35"/>
      <c r="BB20" s="35"/>
      <c r="BC20" s="35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28"/>
      <c r="CF20" s="28"/>
      <c r="CG20" s="28"/>
    </row>
    <row r="21" customFormat="false" ht="68.25" hidden="false" customHeight="true" outlineLevel="0" collapsed="false">
      <c r="A21" s="20" t="s">
        <v>70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 t="s">
        <v>185</v>
      </c>
      <c r="AP21" s="20" t="s">
        <v>18</v>
      </c>
      <c r="AQ21" s="21" t="s">
        <v>94</v>
      </c>
      <c r="AR21" s="21"/>
      <c r="AS21" s="21"/>
      <c r="AT21" s="21"/>
      <c r="AU21" s="21" t="s">
        <v>71</v>
      </c>
      <c r="AV21" s="21"/>
      <c r="AW21" s="21"/>
      <c r="AX21" s="21"/>
      <c r="AY21" s="21"/>
      <c r="AZ21" s="21"/>
      <c r="BA21" s="21"/>
      <c r="BB21" s="21"/>
      <c r="BC21" s="21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6"/>
    </row>
    <row r="22" customFormat="false" ht="78" hidden="false" customHeight="true" outlineLevel="0" collapsed="false">
      <c r="A22" s="20" t="s">
        <v>72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 t="s">
        <v>185</v>
      </c>
      <c r="AP22" s="20" t="s">
        <v>18</v>
      </c>
      <c r="AQ22" s="21" t="s">
        <v>94</v>
      </c>
      <c r="AR22" s="21"/>
      <c r="AS22" s="21"/>
      <c r="AT22" s="21"/>
      <c r="AU22" s="21" t="s">
        <v>72</v>
      </c>
      <c r="AV22" s="21"/>
      <c r="AW22" s="21"/>
      <c r="AX22" s="21"/>
      <c r="AY22" s="21"/>
      <c r="AZ22" s="21"/>
      <c r="BA22" s="21"/>
      <c r="BB22" s="21"/>
      <c r="BC22" s="21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</row>
    <row r="23" customFormat="false" ht="68.25" hidden="false" customHeight="true" outlineLevel="0" collapsed="false">
      <c r="A23" s="20" t="s">
        <v>73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 t="s">
        <v>185</v>
      </c>
      <c r="AP23" s="20" t="s">
        <v>18</v>
      </c>
      <c r="AQ23" s="21" t="s">
        <v>94</v>
      </c>
      <c r="AR23" s="21"/>
      <c r="AS23" s="21"/>
      <c r="AT23" s="21"/>
      <c r="AU23" s="21" t="s">
        <v>73</v>
      </c>
      <c r="AV23" s="21"/>
      <c r="AW23" s="21"/>
      <c r="AX23" s="21"/>
      <c r="AY23" s="21"/>
      <c r="AZ23" s="21"/>
      <c r="BA23" s="21"/>
      <c r="BB23" s="21"/>
      <c r="BC23" s="21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  <c r="BS23" s="36"/>
      <c r="BT23" s="36"/>
      <c r="BU23" s="36"/>
      <c r="BV23" s="36"/>
      <c r="BW23" s="36"/>
      <c r="BX23" s="36"/>
      <c r="BY23" s="36"/>
      <c r="BZ23" s="36"/>
      <c r="CA23" s="36"/>
      <c r="CB23" s="36"/>
      <c r="CC23" s="36"/>
      <c r="CD23" s="36"/>
      <c r="CE23" s="36"/>
      <c r="CF23" s="36"/>
      <c r="CG23" s="36"/>
    </row>
    <row r="24" customFormat="false" ht="51.75" hidden="false" customHeight="true" outlineLevel="0" collapsed="false">
      <c r="A24" s="20" t="s">
        <v>74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 t="s">
        <v>75</v>
      </c>
      <c r="AP24" s="20" t="s">
        <v>66</v>
      </c>
      <c r="AQ24" s="21" t="s">
        <v>76</v>
      </c>
      <c r="AR24" s="21"/>
      <c r="AS24" s="21"/>
      <c r="AT24" s="21"/>
      <c r="AU24" s="37"/>
      <c r="AV24" s="38"/>
      <c r="AW24" s="38"/>
      <c r="AX24" s="38"/>
      <c r="AY24" s="38"/>
      <c r="AZ24" s="38"/>
      <c r="BA24" s="38"/>
      <c r="BB24" s="38"/>
      <c r="BC24" s="39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  <c r="BP24" s="36"/>
      <c r="BQ24" s="36"/>
      <c r="BR24" s="36"/>
      <c r="BS24" s="36"/>
      <c r="BT24" s="36"/>
      <c r="BU24" s="36"/>
      <c r="BV24" s="36"/>
      <c r="BW24" s="36"/>
      <c r="BX24" s="36"/>
      <c r="BY24" s="36"/>
      <c r="BZ24" s="36"/>
      <c r="CA24" s="36"/>
      <c r="CB24" s="36"/>
      <c r="CC24" s="36"/>
      <c r="CD24" s="36"/>
      <c r="CE24" s="36"/>
      <c r="CF24" s="36"/>
      <c r="CG24" s="36"/>
    </row>
    <row r="25" customFormat="false" ht="51" hidden="false" customHeight="true" outlineLevel="0" collapsed="false">
      <c r="A25" s="20" t="s">
        <v>77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 t="s">
        <v>75</v>
      </c>
      <c r="AP25" s="20" t="s">
        <v>66</v>
      </c>
      <c r="AQ25" s="21" t="s">
        <v>78</v>
      </c>
      <c r="AR25" s="21"/>
      <c r="AS25" s="21"/>
      <c r="AT25" s="21"/>
      <c r="AU25" s="37"/>
      <c r="AV25" s="38"/>
      <c r="AW25" s="38"/>
      <c r="AX25" s="38"/>
      <c r="AY25" s="38"/>
      <c r="AZ25" s="38"/>
      <c r="BA25" s="38"/>
      <c r="BB25" s="38"/>
      <c r="BC25" s="39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</row>
    <row r="26" customFormat="false" ht="51" hidden="false" customHeight="true" outlineLevel="0" collapsed="false">
      <c r="A26" s="20" t="s">
        <v>79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 t="s">
        <v>75</v>
      </c>
      <c r="AP26" s="20" t="s">
        <v>66</v>
      </c>
      <c r="AQ26" s="21" t="s">
        <v>80</v>
      </c>
      <c r="AR26" s="21"/>
      <c r="AS26" s="21"/>
      <c r="AT26" s="21"/>
      <c r="AU26" s="37"/>
      <c r="AV26" s="38"/>
      <c r="AW26" s="38"/>
      <c r="AX26" s="38"/>
      <c r="AY26" s="38"/>
      <c r="AZ26" s="38"/>
      <c r="BA26" s="38"/>
      <c r="BB26" s="38"/>
      <c r="BC26" s="39"/>
      <c r="BD26" s="36"/>
      <c r="BE26" s="36"/>
      <c r="BF26" s="36"/>
      <c r="BG26" s="36"/>
      <c r="BH26" s="36"/>
      <c r="BI26" s="36"/>
      <c r="BJ26" s="36"/>
      <c r="BK26" s="36"/>
      <c r="BL26" s="36"/>
      <c r="BM26" s="36"/>
      <c r="BN26" s="36"/>
      <c r="BO26" s="36"/>
      <c r="BP26" s="36"/>
      <c r="BQ26" s="36"/>
      <c r="BR26" s="36"/>
      <c r="BS26" s="36"/>
      <c r="BT26" s="36"/>
      <c r="BU26" s="36"/>
      <c r="BV26" s="36"/>
      <c r="BW26" s="36"/>
      <c r="BX26" s="36"/>
      <c r="BY26" s="36"/>
      <c r="BZ26" s="36"/>
      <c r="CA26" s="36"/>
      <c r="CB26" s="36"/>
      <c r="CC26" s="36"/>
      <c r="CD26" s="36"/>
      <c r="CE26" s="36"/>
      <c r="CF26" s="36"/>
      <c r="CG26" s="36"/>
    </row>
    <row r="27" customFormat="false" ht="51" hidden="false" customHeight="true" outlineLevel="0" collapsed="false">
      <c r="A27" s="20" t="s">
        <v>81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 t="s">
        <v>75</v>
      </c>
      <c r="AP27" s="20" t="s">
        <v>66</v>
      </c>
      <c r="AQ27" s="21" t="s">
        <v>82</v>
      </c>
      <c r="AR27" s="21"/>
      <c r="AS27" s="21"/>
      <c r="AT27" s="21"/>
      <c r="AU27" s="37"/>
      <c r="AV27" s="38"/>
      <c r="AW27" s="38"/>
      <c r="AX27" s="38"/>
      <c r="AY27" s="38"/>
      <c r="AZ27" s="38"/>
      <c r="BA27" s="38"/>
      <c r="BB27" s="38"/>
      <c r="BC27" s="39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  <c r="BY27" s="36"/>
      <c r="BZ27" s="36"/>
      <c r="CA27" s="36"/>
      <c r="CB27" s="36"/>
      <c r="CC27" s="36"/>
      <c r="CD27" s="36"/>
      <c r="CE27" s="36"/>
      <c r="CF27" s="36"/>
      <c r="CG27" s="36"/>
    </row>
    <row r="28" customFormat="false" ht="30" hidden="false" customHeight="true" outlineLevel="0" collapsed="false">
      <c r="A28" s="20" t="s">
        <v>83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 t="s">
        <v>75</v>
      </c>
      <c r="AP28" s="20" t="s">
        <v>66</v>
      </c>
      <c r="AQ28" s="21" t="s">
        <v>84</v>
      </c>
      <c r="AR28" s="21"/>
      <c r="AS28" s="21"/>
      <c r="AT28" s="21"/>
      <c r="AU28" s="37"/>
      <c r="AV28" s="38"/>
      <c r="AW28" s="38"/>
      <c r="AX28" s="38"/>
      <c r="AY28" s="38"/>
      <c r="AZ28" s="38"/>
      <c r="BA28" s="38"/>
      <c r="BB28" s="38"/>
      <c r="BC28" s="39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  <c r="BS28" s="36"/>
      <c r="BT28" s="36"/>
      <c r="BU28" s="36"/>
      <c r="BV28" s="36"/>
      <c r="BW28" s="36"/>
      <c r="BX28" s="36"/>
      <c r="BY28" s="36"/>
      <c r="BZ28" s="36"/>
      <c r="CA28" s="36"/>
      <c r="CB28" s="36"/>
      <c r="CC28" s="36"/>
      <c r="CD28" s="36"/>
      <c r="CE28" s="36"/>
      <c r="CF28" s="36"/>
      <c r="CG28" s="36"/>
    </row>
    <row r="29" customFormat="false" ht="63" hidden="false" customHeight="true" outlineLevel="0" collapsed="false">
      <c r="A29" s="20" t="s">
        <v>85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 t="s">
        <v>17</v>
      </c>
      <c r="AP29" s="20" t="s">
        <v>18</v>
      </c>
      <c r="AQ29" s="21" t="s">
        <v>19</v>
      </c>
      <c r="AR29" s="21"/>
      <c r="AS29" s="21"/>
      <c r="AT29" s="21"/>
      <c r="AU29" s="37"/>
      <c r="AV29" s="40"/>
      <c r="AW29" s="40"/>
      <c r="AX29" s="40"/>
      <c r="AY29" s="40"/>
      <c r="AZ29" s="40"/>
      <c r="BA29" s="40"/>
      <c r="BB29" s="40"/>
      <c r="BC29" s="41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  <c r="BW29" s="36"/>
      <c r="BX29" s="36"/>
      <c r="BY29" s="36"/>
      <c r="BZ29" s="36"/>
      <c r="CA29" s="36"/>
      <c r="CB29" s="36"/>
      <c r="CC29" s="36"/>
      <c r="CD29" s="36"/>
      <c r="CE29" s="36"/>
      <c r="CF29" s="36"/>
      <c r="CG29" s="36"/>
    </row>
    <row r="30" customFormat="false" ht="33.75" hidden="false" customHeight="true" outlineLevel="0" collapsed="false">
      <c r="A30" s="20" t="s">
        <v>86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 t="s">
        <v>75</v>
      </c>
      <c r="AP30" s="20" t="s">
        <v>66</v>
      </c>
      <c r="AQ30" s="21" t="s">
        <v>87</v>
      </c>
      <c r="AR30" s="21"/>
      <c r="AS30" s="21"/>
      <c r="AT30" s="21"/>
      <c r="AU30" s="37"/>
      <c r="AV30" s="40"/>
      <c r="AW30" s="40"/>
      <c r="AX30" s="40"/>
      <c r="AY30" s="40"/>
      <c r="AZ30" s="40"/>
      <c r="BA30" s="40"/>
      <c r="BB30" s="40"/>
      <c r="BC30" s="41"/>
      <c r="BD30" s="36"/>
      <c r="BE30" s="36"/>
      <c r="BF30" s="36"/>
      <c r="BG30" s="36"/>
      <c r="BH30" s="36"/>
      <c r="BI30" s="36"/>
      <c r="BJ30" s="36"/>
      <c r="BK30" s="36"/>
      <c r="BL30" s="36"/>
      <c r="BM30" s="36"/>
      <c r="BN30" s="36"/>
      <c r="BO30" s="36"/>
      <c r="BP30" s="36"/>
      <c r="BQ30" s="36"/>
      <c r="BR30" s="36"/>
      <c r="BS30" s="36"/>
      <c r="BT30" s="36"/>
      <c r="BU30" s="36"/>
      <c r="BV30" s="36"/>
      <c r="BW30" s="36"/>
      <c r="BX30" s="36"/>
      <c r="BY30" s="36"/>
      <c r="BZ30" s="36"/>
      <c r="CA30" s="36"/>
      <c r="CB30" s="36"/>
      <c r="CC30" s="36"/>
      <c r="CD30" s="36"/>
      <c r="CE30" s="36"/>
      <c r="CF30" s="36"/>
      <c r="CG30" s="36"/>
    </row>
    <row r="31" customFormat="false" ht="48.75" hidden="false" customHeight="true" outlineLevel="0" collapsed="false">
      <c r="A31" s="20" t="s">
        <v>88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 t="s">
        <v>89</v>
      </c>
      <c r="AP31" s="20" t="s">
        <v>66</v>
      </c>
      <c r="AQ31" s="21" t="s">
        <v>90</v>
      </c>
      <c r="AR31" s="21"/>
      <c r="AS31" s="21"/>
      <c r="AT31" s="21"/>
      <c r="AU31" s="37"/>
      <c r="AV31" s="40"/>
      <c r="AW31" s="40"/>
      <c r="AX31" s="40"/>
      <c r="AY31" s="40"/>
      <c r="AZ31" s="40"/>
      <c r="BA31" s="40"/>
      <c r="BB31" s="40"/>
      <c r="BC31" s="41"/>
      <c r="BD31" s="36"/>
      <c r="BE31" s="36"/>
      <c r="BF31" s="36"/>
      <c r="BG31" s="36"/>
      <c r="BH31" s="36"/>
      <c r="BI31" s="36"/>
      <c r="BJ31" s="36"/>
      <c r="BK31" s="36"/>
      <c r="BL31" s="36"/>
      <c r="BM31" s="36"/>
      <c r="BN31" s="36"/>
      <c r="BO31" s="36"/>
      <c r="BP31" s="36"/>
      <c r="BQ31" s="36"/>
      <c r="BR31" s="36"/>
      <c r="BS31" s="36"/>
      <c r="BT31" s="36"/>
      <c r="BU31" s="36"/>
      <c r="BV31" s="36"/>
      <c r="BW31" s="36"/>
      <c r="BX31" s="36"/>
      <c r="BY31" s="36"/>
      <c r="BZ31" s="36"/>
      <c r="CA31" s="36"/>
      <c r="CB31" s="36"/>
      <c r="CC31" s="36"/>
      <c r="CD31" s="36"/>
      <c r="CE31" s="36"/>
      <c r="CF31" s="36"/>
      <c r="CG31" s="36"/>
    </row>
    <row r="32" customFormat="false" ht="15" hidden="false" customHeight="true" outlineLevel="0" collapsed="false">
      <c r="A32" s="18" t="s">
        <v>91</v>
      </c>
      <c r="B32" s="18"/>
      <c r="C32" s="18"/>
      <c r="D32" s="18"/>
      <c r="E32" s="18"/>
      <c r="F32" s="18"/>
      <c r="G32" s="18" t="s">
        <v>15</v>
      </c>
      <c r="H32" s="18"/>
      <c r="I32" s="18"/>
      <c r="J32" s="18"/>
      <c r="K32" s="42" t="s">
        <v>212</v>
      </c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23" t="s">
        <v>93</v>
      </c>
      <c r="AA32" s="23"/>
      <c r="AB32" s="23"/>
      <c r="AC32" s="23"/>
      <c r="AD32" s="23"/>
      <c r="AE32" s="23"/>
      <c r="AF32" s="23"/>
      <c r="AG32" s="23"/>
      <c r="AH32" s="23"/>
      <c r="AI32" s="43" t="n">
        <v>100</v>
      </c>
      <c r="AJ32" s="43"/>
      <c r="AK32" s="43"/>
      <c r="AL32" s="43"/>
      <c r="AM32" s="43"/>
      <c r="AN32" s="43"/>
      <c r="AO32" s="20" t="s">
        <v>17</v>
      </c>
      <c r="AP32" s="20" t="s">
        <v>18</v>
      </c>
      <c r="AQ32" s="20" t="s">
        <v>94</v>
      </c>
      <c r="AR32" s="20"/>
      <c r="AS32" s="20"/>
      <c r="AT32" s="20"/>
      <c r="AU32" s="20" t="s">
        <v>213</v>
      </c>
      <c r="AV32" s="20"/>
      <c r="AW32" s="20"/>
      <c r="AX32" s="20"/>
      <c r="AY32" s="20"/>
      <c r="AZ32" s="20"/>
      <c r="BA32" s="20"/>
      <c r="BB32" s="20"/>
      <c r="BC32" s="20"/>
      <c r="BD32" s="31" t="s">
        <v>96</v>
      </c>
      <c r="BE32" s="31"/>
      <c r="BF32" s="31"/>
      <c r="BG32" s="42" t="s">
        <v>214</v>
      </c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22"/>
      <c r="BV32" s="22"/>
      <c r="BW32" s="22"/>
      <c r="BX32" s="22"/>
      <c r="BY32" s="22"/>
      <c r="BZ32" s="32" t="n">
        <v>2</v>
      </c>
      <c r="CA32" s="32"/>
      <c r="CB32" s="32"/>
      <c r="CC32" s="32"/>
      <c r="CD32" s="32"/>
      <c r="CE32" s="32"/>
      <c r="CF32" s="32"/>
      <c r="CG32" s="32"/>
    </row>
    <row r="33" customFormat="false" ht="15" hidden="false" customHeight="true" outlineLevel="0" collapsed="false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23"/>
      <c r="AA33" s="23"/>
      <c r="AB33" s="23"/>
      <c r="AC33" s="23"/>
      <c r="AD33" s="23"/>
      <c r="AE33" s="23"/>
      <c r="AF33" s="23"/>
      <c r="AG33" s="23"/>
      <c r="AH33" s="23"/>
      <c r="AI33" s="43"/>
      <c r="AJ33" s="43"/>
      <c r="AK33" s="43"/>
      <c r="AL33" s="43"/>
      <c r="AM33" s="43"/>
      <c r="AN33" s="43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31"/>
      <c r="BE33" s="31"/>
      <c r="BF33" s="31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22"/>
      <c r="BV33" s="22"/>
      <c r="BW33" s="22"/>
      <c r="BX33" s="22"/>
      <c r="BY33" s="22"/>
      <c r="BZ33" s="32"/>
      <c r="CA33" s="32"/>
      <c r="CB33" s="32"/>
      <c r="CC33" s="32"/>
      <c r="CD33" s="32"/>
      <c r="CE33" s="32"/>
      <c r="CF33" s="32"/>
      <c r="CG33" s="32"/>
    </row>
    <row r="34" s="29" customFormat="true" ht="20.25" hidden="false" customHeight="true" outlineLevel="0" collapsed="false">
      <c r="A34" s="28" t="s">
        <v>97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44" t="s">
        <v>11</v>
      </c>
      <c r="AP34" s="45" t="s">
        <v>12</v>
      </c>
      <c r="AQ34" s="46" t="s">
        <v>13</v>
      </c>
      <c r="AR34" s="47"/>
      <c r="AS34" s="47"/>
      <c r="AT34" s="47"/>
      <c r="AU34" s="48" t="s">
        <v>98</v>
      </c>
      <c r="AV34" s="48"/>
      <c r="AW34" s="48"/>
      <c r="AX34" s="48"/>
      <c r="AY34" s="48"/>
      <c r="AZ34" s="48"/>
      <c r="BA34" s="48"/>
      <c r="BB34" s="48"/>
      <c r="BC34" s="4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28"/>
      <c r="BR34" s="28"/>
      <c r="BS34" s="28"/>
      <c r="BT34" s="28"/>
      <c r="BU34" s="28"/>
      <c r="BV34" s="28"/>
      <c r="BW34" s="28"/>
      <c r="BX34" s="28"/>
      <c r="BY34" s="28"/>
      <c r="BZ34" s="28"/>
      <c r="CA34" s="28"/>
      <c r="CB34" s="28"/>
      <c r="CC34" s="28"/>
      <c r="CD34" s="28"/>
      <c r="CE34" s="28"/>
      <c r="CF34" s="28"/>
      <c r="CG34" s="28"/>
    </row>
    <row r="35" customFormat="false" ht="21.75" hidden="false" customHeight="true" outlineLevel="0" collapsed="false">
      <c r="A35" s="18"/>
      <c r="B35" s="18"/>
      <c r="C35" s="18"/>
      <c r="D35" s="18"/>
      <c r="E35" s="18"/>
      <c r="F35" s="18"/>
      <c r="G35" s="18" t="s">
        <v>15</v>
      </c>
      <c r="H35" s="18"/>
      <c r="I35" s="18"/>
      <c r="J35" s="18"/>
      <c r="K35" s="42" t="s">
        <v>215</v>
      </c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1" t="s">
        <v>66</v>
      </c>
      <c r="AP35" s="21" t="s">
        <v>18</v>
      </c>
      <c r="AQ35" s="21" t="s">
        <v>87</v>
      </c>
      <c r="AR35" s="21"/>
      <c r="AS35" s="21"/>
      <c r="AT35" s="21"/>
      <c r="AU35" s="21" t="s">
        <v>215</v>
      </c>
      <c r="AV35" s="21"/>
      <c r="AW35" s="21"/>
      <c r="AX35" s="21"/>
      <c r="AY35" s="21"/>
      <c r="AZ35" s="21"/>
      <c r="BA35" s="21"/>
      <c r="BB35" s="21"/>
      <c r="BC35" s="21"/>
      <c r="BD35" s="22" t="s">
        <v>103</v>
      </c>
      <c r="BE35" s="22"/>
      <c r="BF35" s="22"/>
      <c r="BG35" s="23" t="s">
        <v>215</v>
      </c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2"/>
      <c r="BV35" s="22"/>
      <c r="BW35" s="22"/>
      <c r="BX35" s="22"/>
      <c r="BY35" s="22"/>
      <c r="BZ35" s="32" t="n">
        <v>1</v>
      </c>
      <c r="CA35" s="32"/>
      <c r="CB35" s="32"/>
      <c r="CC35" s="32"/>
      <c r="CD35" s="32"/>
      <c r="CE35" s="32"/>
      <c r="CF35" s="32"/>
      <c r="CG35" s="32"/>
    </row>
    <row r="36" customFormat="false" ht="21.75" hidden="false" customHeight="true" outlineLevel="0" collapsed="false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2"/>
      <c r="BE36" s="22"/>
      <c r="BF36" s="22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2"/>
      <c r="BV36" s="22"/>
      <c r="BW36" s="22"/>
      <c r="BX36" s="22"/>
      <c r="BY36" s="22"/>
      <c r="BZ36" s="32"/>
      <c r="CA36" s="32"/>
      <c r="CB36" s="32"/>
      <c r="CC36" s="32"/>
      <c r="CD36" s="32"/>
      <c r="CE36" s="32"/>
      <c r="CF36" s="32"/>
      <c r="CG36" s="32"/>
    </row>
    <row r="37" customFormat="false" ht="42.75" hidden="false" customHeight="true" outlineLevel="0" collapsed="false">
      <c r="A37" s="17"/>
      <c r="B37" s="17"/>
      <c r="C37" s="17"/>
      <c r="D37" s="17"/>
      <c r="E37" s="17"/>
      <c r="F37" s="17"/>
      <c r="G37" s="18" t="s">
        <v>15</v>
      </c>
      <c r="H37" s="18"/>
      <c r="I37" s="18"/>
      <c r="J37" s="18"/>
      <c r="K37" s="26" t="s">
        <v>216</v>
      </c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7" t="s">
        <v>66</v>
      </c>
      <c r="AP37" s="37" t="s">
        <v>18</v>
      </c>
      <c r="AQ37" s="21" t="s">
        <v>87</v>
      </c>
      <c r="AR37" s="21"/>
      <c r="AS37" s="21"/>
      <c r="AT37" s="21"/>
      <c r="AU37" s="21" t="s">
        <v>216</v>
      </c>
      <c r="AV37" s="21"/>
      <c r="AW37" s="21"/>
      <c r="AX37" s="21"/>
      <c r="AY37" s="21"/>
      <c r="AZ37" s="21"/>
      <c r="BA37" s="21"/>
      <c r="BB37" s="21"/>
      <c r="BC37" s="21"/>
      <c r="BD37" s="22" t="s">
        <v>109</v>
      </c>
      <c r="BE37" s="22"/>
      <c r="BF37" s="22"/>
      <c r="BG37" s="23" t="str">
        <f aca="false">IFERROR(VLOOKUP('Cash Cuzdan Wallet'!BD35,Lookups111!A$4:B$38,2,FALSE()),"")</f>
        <v/>
      </c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19"/>
      <c r="BV37" s="19"/>
      <c r="BW37" s="19"/>
      <c r="BX37" s="19"/>
      <c r="BY37" s="19"/>
      <c r="BZ37" s="24" t="n">
        <v>2</v>
      </c>
      <c r="CA37" s="24"/>
      <c r="CB37" s="24"/>
      <c r="CC37" s="24"/>
      <c r="CD37" s="24"/>
      <c r="CE37" s="24"/>
      <c r="CF37" s="24"/>
      <c r="CG37" s="24"/>
    </row>
    <row r="38" customFormat="false" ht="28.5" hidden="false" customHeight="true" outlineLevel="0" collapsed="false">
      <c r="A38" s="17" t="s">
        <v>115</v>
      </c>
      <c r="B38" s="17"/>
      <c r="C38" s="17"/>
      <c r="D38" s="17"/>
      <c r="E38" s="17"/>
      <c r="F38" s="17"/>
      <c r="G38" s="51" t="s">
        <v>15</v>
      </c>
      <c r="H38" s="51"/>
      <c r="I38" s="51"/>
      <c r="J38" s="51"/>
      <c r="K38" s="26" t="s">
        <v>116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37" t="s">
        <v>66</v>
      </c>
      <c r="AP38" s="37" t="s">
        <v>18</v>
      </c>
      <c r="AQ38" s="21" t="s">
        <v>87</v>
      </c>
      <c r="AR38" s="21"/>
      <c r="AS38" s="21"/>
      <c r="AT38" s="21"/>
      <c r="AU38" s="21" t="s">
        <v>117</v>
      </c>
      <c r="AV38" s="21"/>
      <c r="AW38" s="21"/>
      <c r="AX38" s="21"/>
      <c r="AY38" s="21"/>
      <c r="AZ38" s="21"/>
      <c r="BA38" s="21"/>
      <c r="BB38" s="21"/>
      <c r="BC38" s="21"/>
      <c r="BD38" s="22" t="s">
        <v>118</v>
      </c>
      <c r="BE38" s="22"/>
      <c r="BF38" s="22"/>
      <c r="BG38" s="23" t="s">
        <v>217</v>
      </c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19"/>
      <c r="BV38" s="19"/>
      <c r="BW38" s="19"/>
      <c r="BX38" s="19"/>
      <c r="BY38" s="19"/>
      <c r="BZ38" s="24" t="n">
        <v>4</v>
      </c>
      <c r="CA38" s="24"/>
      <c r="CB38" s="24"/>
      <c r="CC38" s="24"/>
      <c r="CD38" s="24"/>
      <c r="CE38" s="24"/>
      <c r="CF38" s="24"/>
      <c r="CG38" s="24"/>
      <c r="CN38" s="53"/>
      <c r="CO38" s="53"/>
      <c r="CP38" s="53"/>
      <c r="CQ38" s="53"/>
      <c r="CR38" s="53"/>
      <c r="CS38" s="53"/>
      <c r="CT38" s="53"/>
      <c r="CU38" s="53"/>
      <c r="CV38" s="53"/>
      <c r="CW38" s="53"/>
      <c r="CX38" s="53"/>
      <c r="CY38" s="53"/>
      <c r="CZ38" s="53"/>
      <c r="DA38" s="53"/>
      <c r="DB38" s="53"/>
    </row>
    <row r="39" customFormat="false" ht="15" hidden="false" customHeight="true" outlineLevel="0" collapsed="false">
      <c r="A39" s="18"/>
      <c r="B39" s="18"/>
      <c r="C39" s="18"/>
      <c r="D39" s="18"/>
      <c r="E39" s="18"/>
      <c r="F39" s="18"/>
      <c r="G39" s="18" t="s">
        <v>15</v>
      </c>
      <c r="H39" s="18"/>
      <c r="I39" s="18"/>
      <c r="J39" s="18"/>
      <c r="K39" s="42" t="s">
        <v>218</v>
      </c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21" t="s">
        <v>66</v>
      </c>
      <c r="AP39" s="21" t="s">
        <v>18</v>
      </c>
      <c r="AQ39" s="21" t="s">
        <v>87</v>
      </c>
      <c r="AR39" s="21"/>
      <c r="AS39" s="21"/>
      <c r="AT39" s="21"/>
      <c r="AU39" s="21" t="s">
        <v>218</v>
      </c>
      <c r="AV39" s="21"/>
      <c r="AW39" s="21"/>
      <c r="AX39" s="21"/>
      <c r="AY39" s="21"/>
      <c r="AZ39" s="21"/>
      <c r="BA39" s="21"/>
      <c r="BB39" s="21"/>
      <c r="BC39" s="21"/>
      <c r="BD39" s="22" t="s">
        <v>113</v>
      </c>
      <c r="BE39" s="22"/>
      <c r="BF39" s="22"/>
      <c r="BG39" s="22" t="s">
        <v>218</v>
      </c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50" t="n">
        <v>3</v>
      </c>
      <c r="CA39" s="50"/>
      <c r="CB39" s="50"/>
      <c r="CC39" s="50"/>
      <c r="CD39" s="50"/>
      <c r="CE39" s="50"/>
      <c r="CF39" s="50"/>
      <c r="CG39" s="50"/>
    </row>
    <row r="40" customFormat="false" ht="15" hidden="false" customHeight="true" outlineLevel="0" collapsed="false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50"/>
      <c r="CA40" s="50"/>
      <c r="CB40" s="50"/>
      <c r="CC40" s="50"/>
      <c r="CD40" s="50"/>
      <c r="CE40" s="50"/>
      <c r="CF40" s="50"/>
      <c r="CG40" s="50"/>
    </row>
    <row r="41" customFormat="false" ht="28.5" hidden="false" customHeight="true" outlineLevel="0" collapsed="false">
      <c r="A41" s="17"/>
      <c r="B41" s="17"/>
      <c r="C41" s="17"/>
      <c r="D41" s="17"/>
      <c r="E41" s="17"/>
      <c r="F41" s="17"/>
      <c r="G41" s="51" t="s">
        <v>15</v>
      </c>
      <c r="H41" s="51"/>
      <c r="I41" s="51"/>
      <c r="J41" s="51"/>
      <c r="K41" s="26" t="s">
        <v>219</v>
      </c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37" t="s">
        <v>66</v>
      </c>
      <c r="AP41" s="37" t="s">
        <v>18</v>
      </c>
      <c r="AQ41" s="21" t="s">
        <v>87</v>
      </c>
      <c r="AR41" s="21"/>
      <c r="AS41" s="21"/>
      <c r="AT41" s="21"/>
      <c r="AU41" s="21" t="s">
        <v>219</v>
      </c>
      <c r="AV41" s="21"/>
      <c r="AW41" s="21"/>
      <c r="AX41" s="21"/>
      <c r="AY41" s="21"/>
      <c r="AZ41" s="21"/>
      <c r="BA41" s="21"/>
      <c r="BB41" s="21"/>
      <c r="BC41" s="21"/>
      <c r="BD41" s="22" t="s">
        <v>118</v>
      </c>
      <c r="BE41" s="22"/>
      <c r="BF41" s="22"/>
      <c r="BG41" s="23" t="s">
        <v>219</v>
      </c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19"/>
      <c r="BV41" s="19"/>
      <c r="BW41" s="19"/>
      <c r="BX41" s="19"/>
      <c r="BY41" s="19"/>
      <c r="BZ41" s="24" t="n">
        <v>4</v>
      </c>
      <c r="CA41" s="24"/>
      <c r="CB41" s="24"/>
      <c r="CC41" s="24"/>
      <c r="CD41" s="24"/>
      <c r="CE41" s="24"/>
      <c r="CF41" s="24"/>
      <c r="CG41" s="24"/>
      <c r="CN41" s="53"/>
      <c r="CO41" s="53"/>
      <c r="CP41" s="53"/>
      <c r="CQ41" s="53"/>
      <c r="CR41" s="53"/>
      <c r="CS41" s="53"/>
      <c r="CT41" s="53"/>
      <c r="CU41" s="53"/>
      <c r="CV41" s="53"/>
      <c r="CW41" s="53"/>
      <c r="CX41" s="53"/>
      <c r="CY41" s="53"/>
      <c r="CZ41" s="53"/>
      <c r="DA41" s="53"/>
      <c r="DB41" s="53"/>
    </row>
    <row r="42" customFormat="false" ht="15" hidden="false" customHeight="true" outlineLevel="0" collapsed="false">
      <c r="A42" s="18"/>
      <c r="B42" s="18"/>
      <c r="C42" s="18"/>
      <c r="D42" s="18"/>
      <c r="E42" s="18"/>
      <c r="F42" s="18"/>
      <c r="G42" s="18" t="s">
        <v>15</v>
      </c>
      <c r="H42" s="18"/>
      <c r="I42" s="18"/>
      <c r="J42" s="18"/>
      <c r="K42" s="42" t="s">
        <v>220</v>
      </c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21" t="s">
        <v>66</v>
      </c>
      <c r="AP42" s="21" t="s">
        <v>18</v>
      </c>
      <c r="AQ42" s="21" t="s">
        <v>87</v>
      </c>
      <c r="AR42" s="21"/>
      <c r="AS42" s="21"/>
      <c r="AT42" s="21"/>
      <c r="AU42" s="21" t="s">
        <v>220</v>
      </c>
      <c r="AV42" s="21"/>
      <c r="AW42" s="21"/>
      <c r="AX42" s="21"/>
      <c r="AY42" s="21"/>
      <c r="AZ42" s="21"/>
      <c r="BA42" s="21"/>
      <c r="BB42" s="21"/>
      <c r="BC42" s="21"/>
      <c r="BD42" s="22" t="s">
        <v>121</v>
      </c>
      <c r="BE42" s="22"/>
      <c r="BF42" s="22"/>
      <c r="BG42" s="23" t="s">
        <v>220</v>
      </c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32" t="n">
        <v>5</v>
      </c>
      <c r="CA42" s="32"/>
      <c r="CB42" s="32"/>
      <c r="CC42" s="32"/>
      <c r="CD42" s="32"/>
      <c r="CE42" s="32"/>
      <c r="CF42" s="32"/>
      <c r="CG42" s="32"/>
    </row>
    <row r="43" customFormat="false" ht="15" hidden="false" customHeight="true" outlineLevel="0" collapsed="false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2"/>
      <c r="BE43" s="22"/>
      <c r="BF43" s="22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32"/>
      <c r="CA43" s="32"/>
      <c r="CB43" s="32"/>
      <c r="CC43" s="32"/>
      <c r="CD43" s="32"/>
      <c r="CE43" s="32"/>
      <c r="CF43" s="32"/>
      <c r="CG43" s="32"/>
    </row>
    <row r="44" customFormat="false" ht="15" hidden="false" customHeight="true" outlineLevel="0" collapsed="false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61"/>
      <c r="AL44" s="61"/>
      <c r="AM44" s="61"/>
      <c r="AN44" s="61"/>
      <c r="AO44" s="61"/>
      <c r="AP44" s="61"/>
      <c r="AQ44" s="61"/>
      <c r="AR44" s="61"/>
      <c r="AS44" s="61"/>
      <c r="AT44" s="61"/>
      <c r="AU44" s="61"/>
      <c r="AV44" s="61"/>
      <c r="AW44" s="61"/>
      <c r="AX44" s="61"/>
      <c r="AY44" s="61"/>
      <c r="AZ44" s="61"/>
      <c r="BA44" s="61"/>
      <c r="BB44" s="61"/>
      <c r="BC44" s="61"/>
      <c r="BD44" s="61"/>
      <c r="BE44" s="61"/>
      <c r="BF44" s="61"/>
      <c r="BG44" s="61"/>
      <c r="BH44" s="61"/>
      <c r="BI44" s="61"/>
      <c r="BJ44" s="61"/>
      <c r="BK44" s="61"/>
      <c r="BL44" s="61"/>
      <c r="BM44" s="61"/>
      <c r="BN44" s="61"/>
      <c r="BO44" s="61"/>
      <c r="BP44" s="61"/>
      <c r="BQ44" s="61"/>
      <c r="BR44" s="61"/>
      <c r="BS44" s="61"/>
      <c r="BT44" s="61"/>
      <c r="BU44" s="61"/>
      <c r="BV44" s="61"/>
      <c r="BW44" s="61"/>
      <c r="BX44" s="61"/>
      <c r="BY44" s="61"/>
    </row>
    <row r="45" customFormat="false" ht="15" hidden="false" customHeight="true" outlineLevel="0" collapsed="false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61"/>
      <c r="AL45" s="61"/>
      <c r="AM45" s="61"/>
      <c r="AN45" s="61"/>
      <c r="AO45" s="61"/>
      <c r="AP45" s="61"/>
      <c r="AQ45" s="61"/>
      <c r="AR45" s="61"/>
      <c r="AS45" s="61"/>
      <c r="AT45" s="61"/>
      <c r="AU45" s="61"/>
      <c r="AV45" s="61"/>
      <c r="AW45" s="61"/>
      <c r="AX45" s="61"/>
      <c r="AY45" s="61"/>
      <c r="AZ45" s="61"/>
      <c r="BA45" s="61"/>
      <c r="BB45" s="61"/>
      <c r="BC45" s="61"/>
      <c r="BD45" s="61"/>
      <c r="BE45" s="61"/>
      <c r="BF45" s="61"/>
      <c r="BG45" s="61"/>
      <c r="BH45" s="61"/>
      <c r="BI45" s="61"/>
      <c r="BJ45" s="61"/>
      <c r="BK45" s="61"/>
      <c r="BL45" s="61"/>
      <c r="BM45" s="61"/>
      <c r="BN45" s="61"/>
      <c r="BO45" s="61"/>
      <c r="BP45" s="61"/>
      <c r="BQ45" s="61"/>
      <c r="BR45" s="61"/>
      <c r="BS45" s="61"/>
      <c r="BT45" s="61"/>
      <c r="BU45" s="61"/>
      <c r="BV45" s="61"/>
      <c r="BW45" s="61"/>
      <c r="BX45" s="61"/>
      <c r="BY45" s="61"/>
    </row>
    <row r="46" customFormat="false" ht="15" hidden="false" customHeight="true" outlineLevel="0" collapsed="false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1"/>
      <c r="AL46" s="61"/>
      <c r="AM46" s="61"/>
      <c r="AN46" s="61"/>
      <c r="AO46" s="61"/>
      <c r="AP46" s="61"/>
      <c r="AQ46" s="61"/>
      <c r="AR46" s="61"/>
      <c r="AS46" s="61"/>
      <c r="AT46" s="61"/>
      <c r="AU46" s="61"/>
      <c r="AV46" s="61"/>
      <c r="AW46" s="61"/>
      <c r="AX46" s="61"/>
      <c r="AY46" s="61"/>
      <c r="AZ46" s="61"/>
      <c r="BA46" s="61"/>
      <c r="BB46" s="61"/>
      <c r="BC46" s="61"/>
      <c r="BD46" s="61"/>
      <c r="BE46" s="61"/>
      <c r="BF46" s="61"/>
      <c r="BG46" s="61"/>
      <c r="BH46" s="61"/>
      <c r="BI46" s="61"/>
      <c r="BJ46" s="61"/>
      <c r="BK46" s="61"/>
      <c r="BL46" s="61"/>
      <c r="BM46" s="61"/>
      <c r="BN46" s="61"/>
      <c r="BO46" s="61"/>
      <c r="BP46" s="61"/>
      <c r="BQ46" s="61"/>
      <c r="BR46" s="61"/>
      <c r="BS46" s="61"/>
      <c r="BT46" s="61"/>
      <c r="BU46" s="61"/>
      <c r="BV46" s="61"/>
      <c r="BW46" s="61"/>
      <c r="BX46" s="61"/>
      <c r="BY46" s="61"/>
    </row>
    <row r="47" customFormat="false" ht="15" hidden="false" customHeight="true" outlineLevel="0" collapsed="false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1"/>
      <c r="AY47" s="61"/>
      <c r="AZ47" s="61"/>
      <c r="BA47" s="61"/>
      <c r="BB47" s="61"/>
      <c r="BC47" s="61"/>
      <c r="BD47" s="61"/>
      <c r="BE47" s="61"/>
      <c r="BF47" s="61"/>
      <c r="BG47" s="61"/>
      <c r="BH47" s="61"/>
      <c r="BI47" s="61"/>
      <c r="BJ47" s="61"/>
      <c r="BK47" s="61"/>
      <c r="BL47" s="61"/>
      <c r="BM47" s="61"/>
      <c r="BN47" s="61"/>
      <c r="BO47" s="61"/>
      <c r="BP47" s="61"/>
      <c r="BQ47" s="61"/>
      <c r="BR47" s="61"/>
      <c r="BS47" s="61"/>
      <c r="BT47" s="61"/>
      <c r="BU47" s="61"/>
      <c r="BV47" s="61"/>
      <c r="BW47" s="61"/>
      <c r="BX47" s="61"/>
      <c r="BY47" s="61"/>
    </row>
    <row r="48" customFormat="false" ht="15" hidden="false" customHeight="true" outlineLevel="0" collapsed="false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1"/>
      <c r="AX48" s="61"/>
      <c r="AY48" s="61"/>
      <c r="AZ48" s="61"/>
      <c r="BA48" s="61"/>
      <c r="BB48" s="61"/>
      <c r="BC48" s="61"/>
      <c r="BD48" s="61"/>
      <c r="BE48" s="61"/>
      <c r="BF48" s="61"/>
      <c r="BG48" s="61"/>
      <c r="BH48" s="61"/>
      <c r="BI48" s="61"/>
      <c r="BJ48" s="61"/>
      <c r="BK48" s="61"/>
      <c r="BL48" s="61"/>
      <c r="BM48" s="61"/>
      <c r="BN48" s="61"/>
      <c r="BO48" s="61"/>
      <c r="BP48" s="61"/>
      <c r="BQ48" s="61"/>
      <c r="BR48" s="61"/>
      <c r="BS48" s="61"/>
      <c r="BT48" s="61"/>
      <c r="BU48" s="61"/>
      <c r="BV48" s="61"/>
      <c r="BW48" s="61"/>
      <c r="BX48" s="61"/>
      <c r="BY48" s="61"/>
    </row>
    <row r="49" customFormat="false" ht="15" hidden="false" customHeight="true" outlineLevel="0" collapsed="false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61"/>
      <c r="AX49" s="61"/>
      <c r="AY49" s="61"/>
      <c r="AZ49" s="61"/>
      <c r="BA49" s="61"/>
      <c r="BB49" s="61"/>
      <c r="BC49" s="61"/>
      <c r="BD49" s="61"/>
      <c r="BE49" s="61"/>
      <c r="BF49" s="61"/>
      <c r="BG49" s="61"/>
      <c r="BH49" s="61"/>
      <c r="BI49" s="61"/>
      <c r="BJ49" s="61"/>
      <c r="BK49" s="61"/>
      <c r="BL49" s="61"/>
      <c r="BM49" s="61"/>
      <c r="BN49" s="61"/>
      <c r="BO49" s="61"/>
      <c r="BP49" s="61"/>
      <c r="BQ49" s="61"/>
      <c r="BR49" s="61"/>
      <c r="BS49" s="61"/>
      <c r="BT49" s="61"/>
      <c r="BU49" s="61"/>
      <c r="BV49" s="61"/>
      <c r="BW49" s="61"/>
      <c r="BX49" s="61"/>
      <c r="BY49" s="61"/>
    </row>
    <row r="50" customFormat="false" ht="15" hidden="false" customHeight="true" outlineLevel="0" collapsed="false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1"/>
      <c r="AA50" s="61"/>
      <c r="AB50" s="61"/>
      <c r="AC50" s="61"/>
      <c r="AD50" s="61"/>
      <c r="AE50" s="61"/>
      <c r="AF50" s="61"/>
      <c r="AG50" s="61"/>
      <c r="AH50" s="61"/>
      <c r="AI50" s="61"/>
      <c r="AJ50" s="61"/>
      <c r="AK50" s="61"/>
      <c r="AL50" s="61"/>
      <c r="AM50" s="61"/>
      <c r="AN50" s="61"/>
      <c r="AO50" s="61"/>
      <c r="AP50" s="61"/>
      <c r="AQ50" s="61"/>
      <c r="AR50" s="61"/>
      <c r="AS50" s="61"/>
      <c r="AT50" s="61"/>
      <c r="AU50" s="61"/>
      <c r="AV50" s="61"/>
      <c r="AW50" s="61"/>
      <c r="AX50" s="61"/>
      <c r="AY50" s="61"/>
      <c r="AZ50" s="61"/>
      <c r="BA50" s="61"/>
      <c r="BB50" s="61"/>
      <c r="BC50" s="61"/>
      <c r="BD50" s="61"/>
      <c r="BE50" s="61"/>
      <c r="BF50" s="61"/>
      <c r="BG50" s="61"/>
      <c r="BH50" s="61"/>
      <c r="BI50" s="61"/>
      <c r="BJ50" s="61"/>
      <c r="BK50" s="61"/>
      <c r="BL50" s="61"/>
      <c r="BM50" s="61"/>
      <c r="BN50" s="61"/>
      <c r="BO50" s="61"/>
      <c r="BP50" s="61"/>
      <c r="BQ50" s="61"/>
      <c r="BR50" s="61"/>
      <c r="BS50" s="61"/>
      <c r="BT50" s="61"/>
      <c r="BU50" s="61"/>
      <c r="BV50" s="61"/>
      <c r="BW50" s="61"/>
      <c r="BX50" s="61"/>
      <c r="BY50" s="61"/>
    </row>
    <row r="51" customFormat="false" ht="15" hidden="false" customHeight="true" outlineLevel="0" collapsed="false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  <c r="AL51" s="61"/>
      <c r="AM51" s="61"/>
      <c r="AN51" s="61"/>
      <c r="AO51" s="61"/>
      <c r="AP51" s="61"/>
      <c r="AQ51" s="61"/>
      <c r="AR51" s="61"/>
      <c r="AS51" s="61"/>
      <c r="AT51" s="61"/>
      <c r="AU51" s="61"/>
      <c r="AV51" s="61"/>
      <c r="AW51" s="61"/>
      <c r="AX51" s="61"/>
      <c r="AY51" s="61"/>
      <c r="AZ51" s="61"/>
      <c r="BA51" s="61"/>
      <c r="BB51" s="61"/>
      <c r="BC51" s="61"/>
      <c r="BD51" s="61"/>
      <c r="BE51" s="61"/>
      <c r="BF51" s="61"/>
      <c r="BG51" s="61"/>
      <c r="BH51" s="61"/>
      <c r="BI51" s="61"/>
      <c r="BJ51" s="61"/>
      <c r="BK51" s="61"/>
      <c r="BL51" s="61"/>
      <c r="BM51" s="61"/>
      <c r="BN51" s="61"/>
      <c r="BO51" s="61"/>
      <c r="BP51" s="61"/>
      <c r="BQ51" s="61"/>
      <c r="BR51" s="61"/>
      <c r="BS51" s="61"/>
      <c r="BT51" s="61"/>
      <c r="BU51" s="61"/>
      <c r="BV51" s="61"/>
      <c r="BW51" s="61"/>
      <c r="BX51" s="61"/>
      <c r="BY51" s="61"/>
    </row>
    <row r="52" customFormat="false" ht="15" hidden="false" customHeight="true" outlineLevel="0" collapsed="false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1"/>
      <c r="AA52" s="61"/>
      <c r="AB52" s="61"/>
      <c r="AC52" s="61"/>
      <c r="AD52" s="61"/>
      <c r="AE52" s="61"/>
      <c r="AF52" s="61"/>
      <c r="AG52" s="61"/>
      <c r="AH52" s="61"/>
      <c r="AI52" s="61"/>
      <c r="AJ52" s="61"/>
      <c r="AK52" s="61"/>
      <c r="AL52" s="61"/>
      <c r="AM52" s="61"/>
      <c r="AN52" s="61"/>
      <c r="AO52" s="61"/>
      <c r="AP52" s="61"/>
      <c r="AQ52" s="61"/>
      <c r="AR52" s="61"/>
      <c r="AS52" s="61"/>
      <c r="AT52" s="61"/>
      <c r="AU52" s="61"/>
      <c r="AV52" s="61"/>
      <c r="AW52" s="61"/>
      <c r="AX52" s="61"/>
      <c r="AY52" s="61"/>
      <c r="AZ52" s="61"/>
      <c r="BA52" s="61"/>
      <c r="BB52" s="61"/>
      <c r="BC52" s="61"/>
      <c r="BD52" s="61"/>
      <c r="BE52" s="61"/>
      <c r="BF52" s="61"/>
      <c r="BG52" s="61"/>
      <c r="BH52" s="61"/>
      <c r="BI52" s="61"/>
      <c r="BJ52" s="61"/>
      <c r="BK52" s="61"/>
      <c r="BL52" s="61"/>
      <c r="BM52" s="61"/>
      <c r="BN52" s="61"/>
      <c r="BO52" s="61"/>
      <c r="BP52" s="61"/>
      <c r="BQ52" s="61"/>
      <c r="BR52" s="61"/>
      <c r="BS52" s="61"/>
      <c r="BT52" s="61"/>
      <c r="BU52" s="61"/>
      <c r="BV52" s="61"/>
      <c r="BW52" s="61"/>
      <c r="BX52" s="61"/>
      <c r="BY52" s="61"/>
    </row>
    <row r="53" customFormat="false" ht="15" hidden="false" customHeight="true" outlineLevel="0" collapsed="false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1"/>
      <c r="AA53" s="61"/>
      <c r="AB53" s="61"/>
      <c r="AC53" s="61"/>
      <c r="AD53" s="61"/>
      <c r="AE53" s="61"/>
      <c r="AF53" s="61"/>
      <c r="AG53" s="61"/>
      <c r="AH53" s="61"/>
      <c r="AI53" s="61"/>
      <c r="AJ53" s="61"/>
      <c r="AK53" s="61"/>
      <c r="AL53" s="61"/>
      <c r="AM53" s="61"/>
      <c r="AN53" s="61"/>
      <c r="AO53" s="61"/>
      <c r="AP53" s="61"/>
      <c r="AQ53" s="61"/>
      <c r="AR53" s="61"/>
      <c r="AS53" s="61"/>
      <c r="AT53" s="61"/>
      <c r="AU53" s="61"/>
      <c r="AV53" s="61"/>
      <c r="AW53" s="61"/>
      <c r="AX53" s="61"/>
      <c r="AY53" s="61"/>
      <c r="AZ53" s="61"/>
      <c r="BA53" s="61"/>
      <c r="BB53" s="61"/>
      <c r="BC53" s="61"/>
      <c r="BD53" s="61"/>
      <c r="BE53" s="61"/>
      <c r="BF53" s="61"/>
      <c r="BG53" s="61"/>
      <c r="BH53" s="61"/>
      <c r="BI53" s="61"/>
      <c r="BJ53" s="61"/>
      <c r="BK53" s="61"/>
      <c r="BL53" s="61"/>
      <c r="BM53" s="61"/>
      <c r="BN53" s="61"/>
      <c r="BO53" s="61"/>
      <c r="BP53" s="61"/>
      <c r="BQ53" s="61"/>
      <c r="BR53" s="61"/>
      <c r="BS53" s="61"/>
      <c r="BT53" s="61"/>
      <c r="BU53" s="61"/>
      <c r="BV53" s="61"/>
      <c r="BW53" s="61"/>
      <c r="BX53" s="61"/>
      <c r="BY53" s="61"/>
    </row>
    <row r="54" customFormat="false" ht="15" hidden="false" customHeight="true" outlineLevel="0" collapsed="false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1"/>
      <c r="AX54" s="61"/>
      <c r="AY54" s="61"/>
      <c r="AZ54" s="61"/>
      <c r="BA54" s="61"/>
      <c r="BB54" s="61"/>
      <c r="BC54" s="61"/>
      <c r="BD54" s="61"/>
      <c r="BE54" s="61"/>
      <c r="BF54" s="61"/>
      <c r="BG54" s="61"/>
      <c r="BH54" s="61"/>
      <c r="BI54" s="61"/>
      <c r="BJ54" s="61"/>
      <c r="BK54" s="61"/>
      <c r="BL54" s="61"/>
      <c r="BM54" s="61"/>
      <c r="BN54" s="61"/>
      <c r="BO54" s="61"/>
      <c r="BP54" s="61"/>
      <c r="BQ54" s="61"/>
      <c r="BR54" s="61"/>
      <c r="BS54" s="61"/>
      <c r="BT54" s="61"/>
      <c r="BU54" s="61"/>
      <c r="BV54" s="61"/>
      <c r="BW54" s="61"/>
      <c r="BX54" s="61"/>
      <c r="BY54" s="61"/>
    </row>
    <row r="55" customFormat="false" ht="15" hidden="false" customHeight="true" outlineLevel="0" collapsed="false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61"/>
      <c r="AW55" s="61"/>
      <c r="AX55" s="61"/>
      <c r="AY55" s="61"/>
      <c r="AZ55" s="61"/>
      <c r="BA55" s="61"/>
      <c r="BB55" s="61"/>
      <c r="BC55" s="61"/>
      <c r="BD55" s="61"/>
      <c r="BE55" s="61"/>
      <c r="BF55" s="61"/>
      <c r="BG55" s="61"/>
      <c r="BH55" s="61"/>
      <c r="BI55" s="61"/>
      <c r="BJ55" s="61"/>
      <c r="BK55" s="61"/>
      <c r="BL55" s="61"/>
      <c r="BM55" s="61"/>
      <c r="BN55" s="61"/>
      <c r="BO55" s="61"/>
      <c r="BP55" s="61"/>
      <c r="BQ55" s="61"/>
      <c r="BR55" s="61"/>
      <c r="BS55" s="61"/>
      <c r="BT55" s="61"/>
      <c r="BU55" s="61"/>
      <c r="BV55" s="61"/>
      <c r="BW55" s="61"/>
      <c r="BX55" s="61"/>
      <c r="BY55" s="61"/>
    </row>
    <row r="56" customFormat="false" ht="15" hidden="false" customHeight="true" outlineLevel="0" collapsed="false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61"/>
      <c r="AK56" s="61"/>
      <c r="AL56" s="61"/>
      <c r="AM56" s="61"/>
      <c r="AN56" s="61"/>
      <c r="AO56" s="61"/>
      <c r="AP56" s="61"/>
      <c r="AQ56" s="61"/>
      <c r="AR56" s="61"/>
      <c r="AS56" s="61"/>
      <c r="AT56" s="61"/>
      <c r="AU56" s="61"/>
      <c r="AV56" s="61"/>
      <c r="AW56" s="61"/>
      <c r="AX56" s="61"/>
      <c r="AY56" s="61"/>
      <c r="AZ56" s="61"/>
      <c r="BA56" s="61"/>
      <c r="BB56" s="61"/>
      <c r="BC56" s="61"/>
      <c r="BD56" s="61"/>
      <c r="BE56" s="61"/>
      <c r="BF56" s="61"/>
      <c r="BG56" s="61"/>
      <c r="BH56" s="61"/>
      <c r="BI56" s="61"/>
      <c r="BJ56" s="61"/>
      <c r="BK56" s="61"/>
      <c r="BL56" s="61"/>
      <c r="BM56" s="61"/>
      <c r="BN56" s="61"/>
      <c r="BO56" s="61"/>
      <c r="BP56" s="61"/>
      <c r="BQ56" s="61"/>
      <c r="BR56" s="61"/>
      <c r="BS56" s="61"/>
      <c r="BT56" s="61"/>
      <c r="BU56" s="61"/>
      <c r="BV56" s="61"/>
      <c r="BW56" s="61"/>
      <c r="BX56" s="61"/>
      <c r="BY56" s="61"/>
    </row>
    <row r="57" customFormat="false" ht="15" hidden="false" customHeight="true" outlineLevel="0" collapsed="false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61"/>
      <c r="AZ57" s="61"/>
      <c r="BA57" s="61"/>
      <c r="BB57" s="61"/>
      <c r="BC57" s="61"/>
      <c r="BD57" s="61"/>
      <c r="BE57" s="61"/>
      <c r="BF57" s="61"/>
      <c r="BG57" s="61"/>
      <c r="BH57" s="61"/>
      <c r="BI57" s="61"/>
      <c r="BJ57" s="61"/>
      <c r="BK57" s="61"/>
      <c r="BL57" s="61"/>
      <c r="BM57" s="61"/>
      <c r="BN57" s="61"/>
      <c r="BO57" s="61"/>
      <c r="BP57" s="61"/>
      <c r="BQ57" s="61"/>
      <c r="BR57" s="61"/>
      <c r="BS57" s="61"/>
      <c r="BT57" s="61"/>
      <c r="BU57" s="61"/>
      <c r="BV57" s="61"/>
      <c r="BW57" s="61"/>
      <c r="BX57" s="61"/>
      <c r="BY57" s="61"/>
    </row>
    <row r="58" customFormat="false" ht="15" hidden="false" customHeight="true" outlineLevel="0" collapsed="false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1"/>
      <c r="AA58" s="61"/>
      <c r="AB58" s="61"/>
      <c r="AC58" s="61"/>
      <c r="AD58" s="61"/>
      <c r="AE58" s="61"/>
      <c r="AF58" s="61"/>
      <c r="AG58" s="61"/>
      <c r="AH58" s="61"/>
      <c r="AI58" s="61"/>
      <c r="AJ58" s="61"/>
      <c r="AK58" s="61"/>
      <c r="AL58" s="61"/>
      <c r="AM58" s="61"/>
      <c r="AN58" s="61"/>
      <c r="AO58" s="61"/>
      <c r="AP58" s="61"/>
      <c r="AQ58" s="61"/>
      <c r="AR58" s="61"/>
      <c r="AS58" s="61"/>
      <c r="AT58" s="61"/>
      <c r="AU58" s="61"/>
      <c r="AV58" s="61"/>
      <c r="AW58" s="61"/>
      <c r="AX58" s="61"/>
      <c r="AY58" s="61"/>
      <c r="AZ58" s="61"/>
      <c r="BA58" s="61"/>
      <c r="BB58" s="61"/>
      <c r="BC58" s="61"/>
      <c r="BD58" s="61"/>
      <c r="BE58" s="61"/>
      <c r="BF58" s="61"/>
      <c r="BG58" s="61"/>
      <c r="BH58" s="61"/>
      <c r="BI58" s="61"/>
      <c r="BJ58" s="61"/>
      <c r="BK58" s="61"/>
      <c r="BL58" s="61"/>
      <c r="BM58" s="61"/>
      <c r="BN58" s="61"/>
      <c r="BO58" s="61"/>
      <c r="BP58" s="61"/>
      <c r="BQ58" s="61"/>
      <c r="BR58" s="61"/>
      <c r="BS58" s="61"/>
      <c r="BT58" s="61"/>
      <c r="BU58" s="61"/>
      <c r="BV58" s="61"/>
      <c r="BW58" s="61"/>
      <c r="BX58" s="61"/>
      <c r="BY58" s="61"/>
    </row>
    <row r="59" customFormat="false" ht="15" hidden="false" customHeight="true" outlineLevel="0" collapsed="false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1"/>
      <c r="AA59" s="61"/>
      <c r="AB59" s="61"/>
      <c r="AC59" s="61"/>
      <c r="AD59" s="61"/>
      <c r="AE59" s="61"/>
      <c r="AF59" s="61"/>
      <c r="AG59" s="61"/>
      <c r="AH59" s="61"/>
      <c r="AI59" s="61"/>
      <c r="AJ59" s="61"/>
      <c r="AK59" s="61"/>
      <c r="AL59" s="61"/>
      <c r="AM59" s="61"/>
      <c r="AN59" s="61"/>
      <c r="AO59" s="61"/>
      <c r="AP59" s="61"/>
      <c r="AQ59" s="61"/>
      <c r="AR59" s="61"/>
      <c r="AS59" s="61"/>
      <c r="AT59" s="61"/>
      <c r="AU59" s="61"/>
      <c r="AV59" s="61"/>
      <c r="AW59" s="61"/>
      <c r="AX59" s="61"/>
      <c r="AY59" s="61"/>
      <c r="AZ59" s="61"/>
      <c r="BA59" s="61"/>
      <c r="BB59" s="61"/>
      <c r="BC59" s="61"/>
      <c r="BD59" s="61"/>
      <c r="BE59" s="61"/>
      <c r="BF59" s="61"/>
      <c r="BG59" s="61"/>
      <c r="BH59" s="61"/>
      <c r="BI59" s="61"/>
      <c r="BJ59" s="61"/>
      <c r="BK59" s="61"/>
      <c r="BL59" s="61"/>
      <c r="BM59" s="61"/>
      <c r="BN59" s="61"/>
      <c r="BO59" s="61"/>
      <c r="BP59" s="61"/>
      <c r="BQ59" s="61"/>
      <c r="BR59" s="61"/>
      <c r="BS59" s="61"/>
      <c r="BT59" s="61"/>
      <c r="BU59" s="61"/>
      <c r="BV59" s="61"/>
      <c r="BW59" s="61"/>
      <c r="BX59" s="61"/>
      <c r="BY59" s="61"/>
    </row>
  </sheetData>
  <mergeCells count="376">
    <mergeCell ref="BD1:CG1"/>
    <mergeCell ref="A2:BC2"/>
    <mergeCell ref="BD2:CG2"/>
    <mergeCell ref="CI2:CP2"/>
    <mergeCell ref="A3:F3"/>
    <mergeCell ref="G3:J3"/>
    <mergeCell ref="K3:Y3"/>
    <mergeCell ref="Z3:AN3"/>
    <mergeCell ref="AO3:BC3"/>
    <mergeCell ref="BD3:BT3"/>
    <mergeCell ref="BU3:BY3"/>
    <mergeCell ref="BZ3:CG3"/>
    <mergeCell ref="A4:AN4"/>
    <mergeCell ref="AQ4:AT4"/>
    <mergeCell ref="AU4:BC4"/>
    <mergeCell ref="BD4:CG4"/>
    <mergeCell ref="A5:F5"/>
    <mergeCell ref="G5:J5"/>
    <mergeCell ref="K5:Y5"/>
    <mergeCell ref="Z5:AN5"/>
    <mergeCell ref="AQ5:AT5"/>
    <mergeCell ref="AU5:BC5"/>
    <mergeCell ref="BD5:BF5"/>
    <mergeCell ref="BG5:BT5"/>
    <mergeCell ref="BU5:BY5"/>
    <mergeCell ref="BZ5:CG5"/>
    <mergeCell ref="A6:F6"/>
    <mergeCell ref="G6:J6"/>
    <mergeCell ref="K6:Y6"/>
    <mergeCell ref="Z6:AN6"/>
    <mergeCell ref="AQ6:AT6"/>
    <mergeCell ref="AU6:BC6"/>
    <mergeCell ref="BD6:BF6"/>
    <mergeCell ref="BG6:BT6"/>
    <mergeCell ref="BU6:BY6"/>
    <mergeCell ref="BZ6:CG6"/>
    <mergeCell ref="A7:F7"/>
    <mergeCell ref="G7:J7"/>
    <mergeCell ref="K7:Y7"/>
    <mergeCell ref="Z7:AN7"/>
    <mergeCell ref="AQ7:AT7"/>
    <mergeCell ref="AU7:BC7"/>
    <mergeCell ref="BD7:BF7"/>
    <mergeCell ref="BG7:BT7"/>
    <mergeCell ref="BU7:BY7"/>
    <mergeCell ref="BZ7:CG7"/>
    <mergeCell ref="A8:F8"/>
    <mergeCell ref="G8:J8"/>
    <mergeCell ref="K8:Y8"/>
    <mergeCell ref="Z8:AN8"/>
    <mergeCell ref="AQ8:AT8"/>
    <mergeCell ref="AU8:BC8"/>
    <mergeCell ref="BD8:BF8"/>
    <mergeCell ref="BG8:BT8"/>
    <mergeCell ref="BU8:BY8"/>
    <mergeCell ref="BZ8:CG8"/>
    <mergeCell ref="A9:F9"/>
    <mergeCell ref="G9:J9"/>
    <mergeCell ref="K9:Y9"/>
    <mergeCell ref="Z9:AN9"/>
    <mergeCell ref="AQ9:AT9"/>
    <mergeCell ref="AU9:BC9"/>
    <mergeCell ref="BD9:BF9"/>
    <mergeCell ref="BG9:BT9"/>
    <mergeCell ref="BU9:BY9"/>
    <mergeCell ref="BZ9:CG9"/>
    <mergeCell ref="A10:F10"/>
    <mergeCell ref="G10:J10"/>
    <mergeCell ref="K10:Y10"/>
    <mergeCell ref="Z10:AN10"/>
    <mergeCell ref="AQ10:AT10"/>
    <mergeCell ref="AU10:BC10"/>
    <mergeCell ref="BD10:BF10"/>
    <mergeCell ref="BG10:BT10"/>
    <mergeCell ref="BU10:BY10"/>
    <mergeCell ref="BZ10:CG10"/>
    <mergeCell ref="A11:F11"/>
    <mergeCell ref="G11:J11"/>
    <mergeCell ref="K11:Y11"/>
    <mergeCell ref="Z11:AN11"/>
    <mergeCell ref="AQ11:AT11"/>
    <mergeCell ref="AU11:BC11"/>
    <mergeCell ref="BD11:BF11"/>
    <mergeCell ref="BG11:BT11"/>
    <mergeCell ref="BU11:BY11"/>
    <mergeCell ref="BZ11:CG11"/>
    <mergeCell ref="A12:F12"/>
    <mergeCell ref="G12:J12"/>
    <mergeCell ref="K12:Y12"/>
    <mergeCell ref="Z12:AN12"/>
    <mergeCell ref="AQ12:AT12"/>
    <mergeCell ref="AU12:BC12"/>
    <mergeCell ref="BD12:BF12"/>
    <mergeCell ref="BG12:BT12"/>
    <mergeCell ref="BU12:BY12"/>
    <mergeCell ref="BZ12:CG12"/>
    <mergeCell ref="A13:F13"/>
    <mergeCell ref="G13:J13"/>
    <mergeCell ref="K13:Y13"/>
    <mergeCell ref="Z13:AN13"/>
    <mergeCell ref="AQ13:AT13"/>
    <mergeCell ref="AU13:BC13"/>
    <mergeCell ref="BD13:BF13"/>
    <mergeCell ref="BG13:BT13"/>
    <mergeCell ref="BU13:BY13"/>
    <mergeCell ref="BZ13:CG13"/>
    <mergeCell ref="A14:F14"/>
    <mergeCell ref="G14:J14"/>
    <mergeCell ref="K14:Y14"/>
    <mergeCell ref="Z14:AN14"/>
    <mergeCell ref="AQ14:AT14"/>
    <mergeCell ref="AU14:BC14"/>
    <mergeCell ref="BD14:BF14"/>
    <mergeCell ref="BG14:BT14"/>
    <mergeCell ref="BU14:BY14"/>
    <mergeCell ref="BZ14:CG14"/>
    <mergeCell ref="A15:F15"/>
    <mergeCell ref="G15:J15"/>
    <mergeCell ref="K15:Y15"/>
    <mergeCell ref="Z15:AN15"/>
    <mergeCell ref="AQ15:AT15"/>
    <mergeCell ref="AU15:BC15"/>
    <mergeCell ref="BD15:BF15"/>
    <mergeCell ref="BG15:BT15"/>
    <mergeCell ref="BU15:BY15"/>
    <mergeCell ref="BZ15:CG15"/>
    <mergeCell ref="A16:F16"/>
    <mergeCell ref="G16:J16"/>
    <mergeCell ref="K16:Y16"/>
    <mergeCell ref="Z16:AN16"/>
    <mergeCell ref="AQ16:AT16"/>
    <mergeCell ref="AU16:BC16"/>
    <mergeCell ref="BD16:BF16"/>
    <mergeCell ref="BG16:BT16"/>
    <mergeCell ref="BU16:BY16"/>
    <mergeCell ref="BZ16:CG16"/>
    <mergeCell ref="A17:BC17"/>
    <mergeCell ref="BD17:CG17"/>
    <mergeCell ref="A18:F19"/>
    <mergeCell ref="G18:J19"/>
    <mergeCell ref="K18:Y19"/>
    <mergeCell ref="Z18:AH18"/>
    <mergeCell ref="AI18:AN18"/>
    <mergeCell ref="AO18:AO19"/>
    <mergeCell ref="AP18:AP19"/>
    <mergeCell ref="AQ18:AT19"/>
    <mergeCell ref="AU18:BC19"/>
    <mergeCell ref="BD18:BF19"/>
    <mergeCell ref="BG18:BT19"/>
    <mergeCell ref="BU18:BY19"/>
    <mergeCell ref="BZ18:CG19"/>
    <mergeCell ref="Z19:AH19"/>
    <mergeCell ref="AI19:AN19"/>
    <mergeCell ref="A20:AN20"/>
    <mergeCell ref="AQ20:AT20"/>
    <mergeCell ref="AU20:BC20"/>
    <mergeCell ref="BD20:CG20"/>
    <mergeCell ref="A21:AN21"/>
    <mergeCell ref="AQ21:AT21"/>
    <mergeCell ref="AU21:BC21"/>
    <mergeCell ref="A22:AN22"/>
    <mergeCell ref="AQ22:AT22"/>
    <mergeCell ref="AU22:BC22"/>
    <mergeCell ref="A23:AN23"/>
    <mergeCell ref="AQ23:AT23"/>
    <mergeCell ref="AU23:BC23"/>
    <mergeCell ref="A24:AN24"/>
    <mergeCell ref="AQ24:AT24"/>
    <mergeCell ref="A25:AN25"/>
    <mergeCell ref="AQ25:AT25"/>
    <mergeCell ref="A26:AN26"/>
    <mergeCell ref="AQ26:AT26"/>
    <mergeCell ref="A27:AN27"/>
    <mergeCell ref="AQ27:AT27"/>
    <mergeCell ref="A28:AN28"/>
    <mergeCell ref="AQ28:AT28"/>
    <mergeCell ref="A29:AN29"/>
    <mergeCell ref="AQ29:AT29"/>
    <mergeCell ref="A30:AN30"/>
    <mergeCell ref="AQ30:AT30"/>
    <mergeCell ref="A31:AN31"/>
    <mergeCell ref="AQ31:AT31"/>
    <mergeCell ref="A32:F33"/>
    <mergeCell ref="G32:J33"/>
    <mergeCell ref="K32:Y33"/>
    <mergeCell ref="Z32:AH33"/>
    <mergeCell ref="AI32:AN33"/>
    <mergeCell ref="AO32:AO33"/>
    <mergeCell ref="AP32:AP33"/>
    <mergeCell ref="AQ32:AT33"/>
    <mergeCell ref="AU32:BC33"/>
    <mergeCell ref="BD32:BF33"/>
    <mergeCell ref="BG32:BT33"/>
    <mergeCell ref="BU32:BY33"/>
    <mergeCell ref="BZ32:CG33"/>
    <mergeCell ref="A34:AN34"/>
    <mergeCell ref="AU34:BC34"/>
    <mergeCell ref="BD34:CG34"/>
    <mergeCell ref="A35:F36"/>
    <mergeCell ref="G35:J36"/>
    <mergeCell ref="K35:Y36"/>
    <mergeCell ref="Z35:AN36"/>
    <mergeCell ref="AO35:AO36"/>
    <mergeCell ref="AP35:AP36"/>
    <mergeCell ref="AQ35:AT36"/>
    <mergeCell ref="AU35:BC36"/>
    <mergeCell ref="BD35:BF36"/>
    <mergeCell ref="BG35:BT36"/>
    <mergeCell ref="BU35:BY36"/>
    <mergeCell ref="BZ35:CG36"/>
    <mergeCell ref="A37:F37"/>
    <mergeCell ref="G37:J37"/>
    <mergeCell ref="K37:Y37"/>
    <mergeCell ref="Z37:AN37"/>
    <mergeCell ref="AQ37:AT37"/>
    <mergeCell ref="AU37:BC37"/>
    <mergeCell ref="BD37:BF37"/>
    <mergeCell ref="BG37:BT37"/>
    <mergeCell ref="BU37:BY37"/>
    <mergeCell ref="BZ37:CG37"/>
    <mergeCell ref="A38:F38"/>
    <mergeCell ref="G38:J38"/>
    <mergeCell ref="K38:Y38"/>
    <mergeCell ref="Z38:AN38"/>
    <mergeCell ref="AQ38:AT38"/>
    <mergeCell ref="AU38:BC38"/>
    <mergeCell ref="BD38:BF38"/>
    <mergeCell ref="BG38:BT38"/>
    <mergeCell ref="BU38:BY38"/>
    <mergeCell ref="BZ38:CG38"/>
    <mergeCell ref="A39:F40"/>
    <mergeCell ref="G39:J40"/>
    <mergeCell ref="K39:Y40"/>
    <mergeCell ref="Z39:AN40"/>
    <mergeCell ref="AO39:AO40"/>
    <mergeCell ref="AP39:AP40"/>
    <mergeCell ref="AQ39:AT40"/>
    <mergeCell ref="AU39:BC40"/>
    <mergeCell ref="BD39:BF40"/>
    <mergeCell ref="BG39:BT40"/>
    <mergeCell ref="BU39:BY40"/>
    <mergeCell ref="BZ39:CG40"/>
    <mergeCell ref="A41:F41"/>
    <mergeCell ref="G41:J41"/>
    <mergeCell ref="K41:Y41"/>
    <mergeCell ref="Z41:AN41"/>
    <mergeCell ref="AQ41:AT41"/>
    <mergeCell ref="AU41:BC41"/>
    <mergeCell ref="BD41:BF41"/>
    <mergeCell ref="BG41:BT41"/>
    <mergeCell ref="BU41:BY41"/>
    <mergeCell ref="BZ41:CG41"/>
    <mergeCell ref="A42:F43"/>
    <mergeCell ref="G42:J43"/>
    <mergeCell ref="K42:Y43"/>
    <mergeCell ref="Z42:AN43"/>
    <mergeCell ref="AO42:AO43"/>
    <mergeCell ref="AP42:AP43"/>
    <mergeCell ref="AQ42:AT43"/>
    <mergeCell ref="AU42:BC43"/>
    <mergeCell ref="BD42:BF43"/>
    <mergeCell ref="BG42:BT43"/>
    <mergeCell ref="BU42:BY43"/>
    <mergeCell ref="BZ42:CG43"/>
    <mergeCell ref="A44:F44"/>
    <mergeCell ref="G44:J44"/>
    <mergeCell ref="K44:Y44"/>
    <mergeCell ref="Z44:AN44"/>
    <mergeCell ref="AO44:BC44"/>
    <mergeCell ref="BD44:BT44"/>
    <mergeCell ref="BU44:BY44"/>
    <mergeCell ref="A45:F45"/>
    <mergeCell ref="G45:J45"/>
    <mergeCell ref="K45:Y45"/>
    <mergeCell ref="Z45:AN45"/>
    <mergeCell ref="AO45:BC45"/>
    <mergeCell ref="BD45:BT45"/>
    <mergeCell ref="BU45:BY45"/>
    <mergeCell ref="A46:F46"/>
    <mergeCell ref="G46:J46"/>
    <mergeCell ref="K46:Y46"/>
    <mergeCell ref="Z46:AN46"/>
    <mergeCell ref="AO46:BC46"/>
    <mergeCell ref="BD46:BT46"/>
    <mergeCell ref="BU46:BY46"/>
    <mergeCell ref="A47:F47"/>
    <mergeCell ref="G47:J47"/>
    <mergeCell ref="K47:Y47"/>
    <mergeCell ref="Z47:AN47"/>
    <mergeCell ref="AO47:BC47"/>
    <mergeCell ref="BD47:BT47"/>
    <mergeCell ref="BU47:BY47"/>
    <mergeCell ref="A48:F48"/>
    <mergeCell ref="G48:J48"/>
    <mergeCell ref="K48:Y48"/>
    <mergeCell ref="Z48:AN48"/>
    <mergeCell ref="AO48:BC48"/>
    <mergeCell ref="BD48:BT48"/>
    <mergeCell ref="BU48:BY48"/>
    <mergeCell ref="A49:F49"/>
    <mergeCell ref="G49:J49"/>
    <mergeCell ref="K49:Y49"/>
    <mergeCell ref="Z49:AN49"/>
    <mergeCell ref="AO49:BC49"/>
    <mergeCell ref="BD49:BT49"/>
    <mergeCell ref="BU49:BY49"/>
    <mergeCell ref="A50:F50"/>
    <mergeCell ref="G50:J50"/>
    <mergeCell ref="K50:Y50"/>
    <mergeCell ref="Z50:AN50"/>
    <mergeCell ref="AO50:BC50"/>
    <mergeCell ref="BD50:BT50"/>
    <mergeCell ref="BU50:BY50"/>
    <mergeCell ref="A51:F51"/>
    <mergeCell ref="G51:J51"/>
    <mergeCell ref="K51:Y51"/>
    <mergeCell ref="Z51:AN51"/>
    <mergeCell ref="AO51:BC51"/>
    <mergeCell ref="BD51:BT51"/>
    <mergeCell ref="BU51:BY51"/>
    <mergeCell ref="A52:F52"/>
    <mergeCell ref="G52:J52"/>
    <mergeCell ref="K52:Y52"/>
    <mergeCell ref="Z52:AN52"/>
    <mergeCell ref="AO52:BC52"/>
    <mergeCell ref="BD52:BT52"/>
    <mergeCell ref="BU52:BY52"/>
    <mergeCell ref="A53:F53"/>
    <mergeCell ref="G53:J53"/>
    <mergeCell ref="K53:Y53"/>
    <mergeCell ref="Z53:AN53"/>
    <mergeCell ref="AO53:BC53"/>
    <mergeCell ref="BD53:BT53"/>
    <mergeCell ref="BU53:BY53"/>
    <mergeCell ref="A54:F54"/>
    <mergeCell ref="G54:J54"/>
    <mergeCell ref="K54:Y54"/>
    <mergeCell ref="Z54:AN54"/>
    <mergeCell ref="AO54:BC54"/>
    <mergeCell ref="BD54:BT54"/>
    <mergeCell ref="BU54:BY54"/>
    <mergeCell ref="A55:F55"/>
    <mergeCell ref="G55:J55"/>
    <mergeCell ref="K55:Y55"/>
    <mergeCell ref="Z55:AN55"/>
    <mergeCell ref="AO55:BC55"/>
    <mergeCell ref="BD55:BT55"/>
    <mergeCell ref="BU55:BY55"/>
    <mergeCell ref="A56:F56"/>
    <mergeCell ref="G56:J56"/>
    <mergeCell ref="K56:Y56"/>
    <mergeCell ref="Z56:AN56"/>
    <mergeCell ref="AO56:BC56"/>
    <mergeCell ref="BD56:BT56"/>
    <mergeCell ref="BU56:BY56"/>
    <mergeCell ref="A57:F57"/>
    <mergeCell ref="G57:J57"/>
    <mergeCell ref="K57:Y57"/>
    <mergeCell ref="Z57:AN57"/>
    <mergeCell ref="AO57:BC57"/>
    <mergeCell ref="BD57:BT57"/>
    <mergeCell ref="BU57:BY57"/>
    <mergeCell ref="A58:F58"/>
    <mergeCell ref="G58:J58"/>
    <mergeCell ref="K58:Y58"/>
    <mergeCell ref="Z58:AN58"/>
    <mergeCell ref="AO58:BC58"/>
    <mergeCell ref="BD58:BT58"/>
    <mergeCell ref="BU58:BY58"/>
    <mergeCell ref="A59:F59"/>
    <mergeCell ref="G59:J59"/>
    <mergeCell ref="K59:Y59"/>
    <mergeCell ref="Z59:AN59"/>
    <mergeCell ref="AO59:BC59"/>
    <mergeCell ref="BD59:BT59"/>
    <mergeCell ref="BU59:BY59"/>
  </mergeCells>
  <conditionalFormatting sqref="G6:J13">
    <cfRule type="cellIs" priority="2" operator="equal" aboveAverage="0" equalAverage="0" bottom="0" percent="0" rank="0" text="" dxfId="0">
      <formula>"İMTİNA"</formula>
    </cfRule>
  </conditionalFormatting>
  <conditionalFormatting sqref="G18:J19">
    <cfRule type="cellIs" priority="3" operator="equal" aboveAverage="0" equalAverage="0" bottom="0" percent="0" rank="0" text="" dxfId="0">
      <formula>"İMTİNA"</formula>
    </cfRule>
  </conditionalFormatting>
  <conditionalFormatting sqref="G15:J15">
    <cfRule type="cellIs" priority="4" operator="equal" aboveAverage="0" equalAverage="0" bottom="0" percent="0" rank="0" text="" dxfId="0">
      <formula>"İMTİNA"</formula>
    </cfRule>
  </conditionalFormatting>
  <conditionalFormatting sqref="G14:J14">
    <cfRule type="cellIs" priority="5" operator="equal" aboveAverage="0" equalAverage="0" bottom="0" percent="0" rank="0" text="" dxfId="0">
      <formula>"İMTİNA"</formula>
    </cfRule>
  </conditionalFormatting>
  <conditionalFormatting sqref="G5:J5">
    <cfRule type="cellIs" priority="6" operator="equal" aboveAverage="0" equalAverage="0" bottom="0" percent="0" rank="0" text="" dxfId="0">
      <formula>"İMTİNA"</formula>
    </cfRule>
  </conditionalFormatting>
  <conditionalFormatting sqref="G38">
    <cfRule type="cellIs" priority="7" operator="equal" aboveAverage="0" equalAverage="0" bottom="0" percent="0" rank="0" text="" dxfId="0">
      <formula>"İMTİNA"</formula>
    </cfRule>
  </conditionalFormatting>
  <conditionalFormatting sqref="G37:J37">
    <cfRule type="cellIs" priority="8" operator="equal" aboveAverage="0" equalAverage="0" bottom="0" percent="0" rank="0" text="" dxfId="0">
      <formula>"İMTİNA"</formula>
    </cfRule>
  </conditionalFormatting>
  <conditionalFormatting sqref="G32:J33">
    <cfRule type="cellIs" priority="9" operator="equal" aboveAverage="0" equalAverage="0" bottom="0" percent="0" rank="0" text="" dxfId="0">
      <formula>"İMTİNA"</formula>
    </cfRule>
  </conditionalFormatting>
  <conditionalFormatting sqref="G41">
    <cfRule type="cellIs" priority="10" operator="equal" aboveAverage="0" equalAverage="0" bottom="0" percent="0" rank="0" text="" dxfId="0">
      <formula>"İMTİNA"</formula>
    </cfRule>
  </conditionalFormatting>
  <conditionalFormatting sqref="G35:J36 G39 G42:J43">
    <cfRule type="cellIs" priority="11" operator="equal" aboveAverage="0" equalAverage="0" bottom="0" percent="0" rank="0" text="" dxfId="0">
      <formula>"İMTİNA"</formula>
    </cfRule>
  </conditionalFormatting>
  <conditionalFormatting sqref="G16:J16">
    <cfRule type="cellIs" priority="12" operator="equal" aboveAverage="0" equalAverage="0" bottom="0" percent="0" rank="0" text="" dxfId="0">
      <formula>"İMTİNA"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B66"/>
  <sheetViews>
    <sheetView showFormulas="false" showGridLines="true" showRowColHeaders="true" showZeros="true" rightToLeft="false" tabSelected="false" showOutlineSymbols="true" defaultGridColor="true" view="normal" topLeftCell="A34" colorId="64" zoomScale="96" zoomScaleNormal="96" zoomScalePageLayoutView="100" workbookViewId="0">
      <selection pane="topLeft" activeCell="AO14" activeCellId="0" sqref="AO14"/>
    </sheetView>
  </sheetViews>
  <sheetFormatPr defaultColWidth="2.66796875" defaultRowHeight="14.25" customHeight="true" zeroHeight="false" outlineLevelRow="0" outlineLevelCol="0"/>
  <cols>
    <col collapsed="false" customWidth="false" hidden="false" outlineLevel="0" max="10" min="1" style="1" width="2.67"/>
    <col collapsed="false" customWidth="false" hidden="false" outlineLevel="0" max="25" min="11" style="2" width="2.67"/>
    <col collapsed="false" customWidth="false" hidden="false" outlineLevel="0" max="39" min="26" style="3" width="2.67"/>
    <col collapsed="false" customWidth="true" hidden="false" outlineLevel="0" max="40" min="40" style="3" width="8"/>
    <col collapsed="false" customWidth="true" hidden="false" outlineLevel="0" max="41" min="41" style="3" width="22.67"/>
    <col collapsed="false" customWidth="true" hidden="false" outlineLevel="0" max="42" min="42" style="3" width="19.21"/>
    <col collapsed="false" customWidth="true" hidden="false" outlineLevel="0" max="43" min="43" style="3" width="17.88"/>
    <col collapsed="false" customWidth="false" hidden="false" outlineLevel="0" max="54" min="44" style="3" width="2.67"/>
    <col collapsed="false" customWidth="true" hidden="false" outlineLevel="0" max="55" min="55" style="3" width="11.67"/>
    <col collapsed="false" customWidth="false" hidden="false" outlineLevel="0" max="77" min="56" style="3" width="2.67"/>
    <col collapsed="false" customWidth="false" hidden="false" outlineLevel="0" max="85" min="78" style="4" width="2.67"/>
  </cols>
  <sheetData>
    <row r="1" customFormat="false" ht="15" hidden="false" customHeight="true" outlineLevel="0" collapsed="false"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</row>
    <row r="2" customFormat="false" ht="30" hidden="false" customHeight="true" outlineLevel="0" collapsed="false">
      <c r="A2" s="6" t="s">
        <v>210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I2" s="7" t="s">
        <v>0</v>
      </c>
      <c r="CJ2" s="7"/>
      <c r="CK2" s="7"/>
      <c r="CL2" s="7"/>
      <c r="CM2" s="7"/>
      <c r="CN2" s="7"/>
      <c r="CO2" s="7"/>
      <c r="CP2" s="7"/>
      <c r="CR2" s="8" t="s">
        <v>1</v>
      </c>
    </row>
    <row r="3" customFormat="false" ht="75" hidden="false" customHeight="true" outlineLevel="0" collapsed="false">
      <c r="A3" s="9" t="s">
        <v>2</v>
      </c>
      <c r="B3" s="9"/>
      <c r="C3" s="9"/>
      <c r="D3" s="9"/>
      <c r="E3" s="9"/>
      <c r="F3" s="9"/>
      <c r="G3" s="9" t="s">
        <v>3</v>
      </c>
      <c r="H3" s="9"/>
      <c r="I3" s="9"/>
      <c r="J3" s="9"/>
      <c r="K3" s="10" t="s">
        <v>4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 t="s">
        <v>5</v>
      </c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 t="s">
        <v>6</v>
      </c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1" t="s">
        <v>7</v>
      </c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 t="s">
        <v>8</v>
      </c>
      <c r="BV3" s="11"/>
      <c r="BW3" s="11"/>
      <c r="BX3" s="11"/>
      <c r="BY3" s="11"/>
      <c r="BZ3" s="9" t="s">
        <v>9</v>
      </c>
      <c r="CA3" s="9"/>
      <c r="CB3" s="9"/>
      <c r="CC3" s="9"/>
      <c r="CD3" s="9"/>
      <c r="CE3" s="9"/>
      <c r="CF3" s="9"/>
      <c r="CG3" s="9"/>
    </row>
    <row r="4" s="29" customFormat="true" ht="20.25" hidden="false" customHeight="true" outlineLevel="0" collapsed="false">
      <c r="A4" s="28" t="s">
        <v>196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44" t="s">
        <v>11</v>
      </c>
      <c r="AP4" s="45" t="s">
        <v>12</v>
      </c>
      <c r="AQ4" s="45" t="s">
        <v>13</v>
      </c>
      <c r="AR4" s="45"/>
      <c r="AS4" s="45"/>
      <c r="AT4" s="45"/>
      <c r="AU4" s="35"/>
      <c r="AV4" s="35"/>
      <c r="AW4" s="35"/>
      <c r="AX4" s="35"/>
      <c r="AY4" s="35"/>
      <c r="AZ4" s="35"/>
      <c r="BA4" s="35"/>
      <c r="BB4" s="35"/>
      <c r="BC4" s="35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</row>
    <row r="5" customFormat="false" ht="57" hidden="false" customHeight="true" outlineLevel="0" collapsed="false">
      <c r="A5" s="17" t="s">
        <v>14</v>
      </c>
      <c r="B5" s="17"/>
      <c r="C5" s="17"/>
      <c r="D5" s="17"/>
      <c r="E5" s="17"/>
      <c r="F5" s="17"/>
      <c r="G5" s="18" t="s">
        <v>15</v>
      </c>
      <c r="H5" s="18"/>
      <c r="I5" s="18"/>
      <c r="J5" s="18"/>
      <c r="K5" s="19" t="s">
        <v>16</v>
      </c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20" t="s">
        <v>185</v>
      </c>
      <c r="AP5" s="20" t="s">
        <v>18</v>
      </c>
      <c r="AQ5" s="21" t="s">
        <v>94</v>
      </c>
      <c r="AR5" s="21"/>
      <c r="AS5" s="21"/>
      <c r="AT5" s="21"/>
      <c r="AU5" s="21" t="s">
        <v>20</v>
      </c>
      <c r="AV5" s="21"/>
      <c r="AW5" s="21"/>
      <c r="AX5" s="21"/>
      <c r="AY5" s="21"/>
      <c r="AZ5" s="21"/>
      <c r="BA5" s="21"/>
      <c r="BB5" s="21"/>
      <c r="BC5" s="21"/>
      <c r="BD5" s="22" t="s">
        <v>21</v>
      </c>
      <c r="BE5" s="22"/>
      <c r="BF5" s="22"/>
      <c r="BG5" s="23" t="str">
        <f aca="false">IFERROR(VLOOKUP('Cash ABC+ACZ'!BD5,Lookups111!A$4:B$38,2,FALSE()),"")</f>
        <v>Qara siyahı</v>
      </c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19"/>
      <c r="BV5" s="19"/>
      <c r="BW5" s="19"/>
      <c r="BX5" s="19"/>
      <c r="BY5" s="19"/>
      <c r="BZ5" s="24" t="n">
        <v>1</v>
      </c>
      <c r="CA5" s="24"/>
      <c r="CB5" s="24"/>
      <c r="CC5" s="24"/>
      <c r="CD5" s="24"/>
      <c r="CE5" s="24"/>
      <c r="CF5" s="24"/>
      <c r="CG5" s="24"/>
    </row>
    <row r="6" customFormat="false" ht="57" hidden="false" customHeight="true" outlineLevel="0" collapsed="false">
      <c r="A6" s="17" t="s">
        <v>22</v>
      </c>
      <c r="B6" s="17"/>
      <c r="C6" s="17"/>
      <c r="D6" s="17"/>
      <c r="E6" s="17"/>
      <c r="F6" s="17"/>
      <c r="G6" s="18" t="s">
        <v>15</v>
      </c>
      <c r="H6" s="18"/>
      <c r="I6" s="18"/>
      <c r="J6" s="18"/>
      <c r="K6" s="19" t="s">
        <v>23</v>
      </c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20" t="s">
        <v>17</v>
      </c>
      <c r="AP6" s="20" t="s">
        <v>18</v>
      </c>
      <c r="AQ6" s="21" t="s">
        <v>19</v>
      </c>
      <c r="AR6" s="21"/>
      <c r="AS6" s="21"/>
      <c r="AT6" s="21"/>
      <c r="AU6" s="21" t="s">
        <v>24</v>
      </c>
      <c r="AV6" s="21"/>
      <c r="AW6" s="21"/>
      <c r="AX6" s="21"/>
      <c r="AY6" s="21"/>
      <c r="AZ6" s="21"/>
      <c r="BA6" s="21"/>
      <c r="BB6" s="21"/>
      <c r="BC6" s="21"/>
      <c r="BD6" s="22" t="s">
        <v>25</v>
      </c>
      <c r="BE6" s="22"/>
      <c r="BF6" s="22"/>
      <c r="BG6" s="23" t="str">
        <f aca="false">IFERROR(VLOOKUP('Cash ABC+ACZ'!BD6,Lookups111!A$4:B$38,2,FALSE()),"")</f>
        <v>Gəliri kifayət etmir</v>
      </c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5" t="n">
        <v>15</v>
      </c>
      <c r="BV6" s="25"/>
      <c r="BW6" s="25"/>
      <c r="BX6" s="25"/>
      <c r="BY6" s="25"/>
      <c r="BZ6" s="24" t="n">
        <v>2</v>
      </c>
      <c r="CA6" s="24"/>
      <c r="CB6" s="24"/>
      <c r="CC6" s="24"/>
      <c r="CD6" s="24"/>
      <c r="CE6" s="24"/>
      <c r="CF6" s="24"/>
      <c r="CG6" s="24"/>
    </row>
    <row r="7" customFormat="false" ht="57" hidden="false" customHeight="true" outlineLevel="0" collapsed="false">
      <c r="A7" s="17" t="s">
        <v>26</v>
      </c>
      <c r="B7" s="17"/>
      <c r="C7" s="17"/>
      <c r="D7" s="17"/>
      <c r="E7" s="17"/>
      <c r="F7" s="17"/>
      <c r="G7" s="18" t="s">
        <v>15</v>
      </c>
      <c r="H7" s="18"/>
      <c r="I7" s="18"/>
      <c r="J7" s="18"/>
      <c r="K7" s="26" t="s">
        <v>27</v>
      </c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0" t="s">
        <v>17</v>
      </c>
      <c r="AP7" s="20" t="s">
        <v>18</v>
      </c>
      <c r="AQ7" s="21" t="s">
        <v>19</v>
      </c>
      <c r="AR7" s="21"/>
      <c r="AS7" s="21"/>
      <c r="AT7" s="21"/>
      <c r="AU7" s="21" t="s">
        <v>28</v>
      </c>
      <c r="AV7" s="21"/>
      <c r="AW7" s="21"/>
      <c r="AX7" s="21"/>
      <c r="AY7" s="21"/>
      <c r="AZ7" s="21"/>
      <c r="BA7" s="21"/>
      <c r="BB7" s="21"/>
      <c r="BC7" s="21"/>
      <c r="BD7" s="22" t="s">
        <v>29</v>
      </c>
      <c r="BE7" s="22"/>
      <c r="BF7" s="22"/>
      <c r="BG7" s="23" t="str">
        <f aca="false">IFERROR(VLOOKUP('Cash ABC+ACZ'!BD7,Lookups111!A$4:B$38,2,FALSE()),"")</f>
        <v>Mənfi kredit tarixçəsi</v>
      </c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7" t="n">
        <v>90</v>
      </c>
      <c r="BV7" s="27"/>
      <c r="BW7" s="27"/>
      <c r="BX7" s="27"/>
      <c r="BY7" s="27"/>
      <c r="BZ7" s="24" t="n">
        <v>3</v>
      </c>
      <c r="CA7" s="24"/>
      <c r="CB7" s="24"/>
      <c r="CC7" s="24"/>
      <c r="CD7" s="24"/>
      <c r="CE7" s="24"/>
      <c r="CF7" s="24"/>
      <c r="CG7" s="24"/>
    </row>
    <row r="8" customFormat="false" ht="57" hidden="false" customHeight="true" outlineLevel="0" collapsed="false">
      <c r="A8" s="17" t="s">
        <v>30</v>
      </c>
      <c r="B8" s="17"/>
      <c r="C8" s="17"/>
      <c r="D8" s="17"/>
      <c r="E8" s="17"/>
      <c r="F8" s="17"/>
      <c r="G8" s="18" t="s">
        <v>15</v>
      </c>
      <c r="H8" s="18"/>
      <c r="I8" s="18"/>
      <c r="J8" s="18"/>
      <c r="K8" s="26" t="s">
        <v>31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0" t="s">
        <v>17</v>
      </c>
      <c r="AP8" s="20" t="s">
        <v>18</v>
      </c>
      <c r="AQ8" s="21" t="s">
        <v>19</v>
      </c>
      <c r="AR8" s="21"/>
      <c r="AS8" s="21"/>
      <c r="AT8" s="21"/>
      <c r="AU8" s="21" t="s">
        <v>32</v>
      </c>
      <c r="AV8" s="21"/>
      <c r="AW8" s="21"/>
      <c r="AX8" s="21"/>
      <c r="AY8" s="21"/>
      <c r="AZ8" s="21"/>
      <c r="BA8" s="21"/>
      <c r="BB8" s="21"/>
      <c r="BC8" s="21"/>
      <c r="BD8" s="22" t="s">
        <v>33</v>
      </c>
      <c r="BE8" s="22"/>
      <c r="BF8" s="22"/>
      <c r="BG8" s="23" t="str">
        <f aca="false">IFERROR(VLOOKUP('Cash ABC+ACZ'!BD8,Lookups111!A$4:B$38,2,FALSE()),"")</f>
        <v>Ailə üzvlərinin mənfi tarixçəsi</v>
      </c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7" t="n">
        <v>15</v>
      </c>
      <c r="BV8" s="27"/>
      <c r="BW8" s="27"/>
      <c r="BX8" s="27"/>
      <c r="BY8" s="27"/>
      <c r="BZ8" s="24" t="n">
        <v>4</v>
      </c>
      <c r="CA8" s="24"/>
      <c r="CB8" s="24"/>
      <c r="CC8" s="24"/>
      <c r="CD8" s="24"/>
      <c r="CE8" s="24"/>
      <c r="CF8" s="24"/>
      <c r="CG8" s="24"/>
    </row>
    <row r="9" customFormat="false" ht="57" hidden="false" customHeight="true" outlineLevel="0" collapsed="false">
      <c r="A9" s="17" t="s">
        <v>34</v>
      </c>
      <c r="B9" s="17"/>
      <c r="C9" s="17"/>
      <c r="D9" s="17"/>
      <c r="E9" s="17"/>
      <c r="F9" s="17"/>
      <c r="G9" s="18" t="s">
        <v>15</v>
      </c>
      <c r="H9" s="18"/>
      <c r="I9" s="18"/>
      <c r="J9" s="18"/>
      <c r="K9" s="26" t="s">
        <v>35</v>
      </c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0" t="s">
        <v>17</v>
      </c>
      <c r="AP9" s="20" t="s">
        <v>18</v>
      </c>
      <c r="AQ9" s="21" t="s">
        <v>19</v>
      </c>
      <c r="AR9" s="21"/>
      <c r="AS9" s="21"/>
      <c r="AT9" s="21"/>
      <c r="AU9" s="21" t="s">
        <v>36</v>
      </c>
      <c r="AV9" s="21"/>
      <c r="AW9" s="21"/>
      <c r="AX9" s="21"/>
      <c r="AY9" s="21"/>
      <c r="AZ9" s="21"/>
      <c r="BA9" s="21"/>
      <c r="BB9" s="21"/>
      <c r="BC9" s="21"/>
      <c r="BD9" s="22" t="s">
        <v>37</v>
      </c>
      <c r="BE9" s="22"/>
      <c r="BF9" s="22"/>
      <c r="BG9" s="23" t="str">
        <f aca="false">IFERROR(VLOOKUP('Cash ABC+ACZ'!BD9,Lookups111!A$4:B$38,2,FALSE()),"")</f>
        <v>Yalan məlumat</v>
      </c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7" t="n">
        <v>15</v>
      </c>
      <c r="BV9" s="27"/>
      <c r="BW9" s="27"/>
      <c r="BX9" s="27"/>
      <c r="BY9" s="27"/>
      <c r="BZ9" s="24" t="n">
        <v>5</v>
      </c>
      <c r="CA9" s="24"/>
      <c r="CB9" s="24"/>
      <c r="CC9" s="24"/>
      <c r="CD9" s="24"/>
      <c r="CE9" s="24"/>
      <c r="CF9" s="24"/>
      <c r="CG9" s="24"/>
    </row>
    <row r="10" customFormat="false" ht="57" hidden="false" customHeight="true" outlineLevel="0" collapsed="false">
      <c r="A10" s="17" t="s">
        <v>38</v>
      </c>
      <c r="B10" s="17"/>
      <c r="C10" s="17"/>
      <c r="D10" s="17"/>
      <c r="E10" s="17"/>
      <c r="F10" s="17"/>
      <c r="G10" s="18" t="s">
        <v>15</v>
      </c>
      <c r="H10" s="18"/>
      <c r="I10" s="18"/>
      <c r="J10" s="18"/>
      <c r="K10" s="26" t="s">
        <v>39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0" t="s">
        <v>17</v>
      </c>
      <c r="AP10" s="20" t="s">
        <v>18</v>
      </c>
      <c r="AQ10" s="21" t="s">
        <v>19</v>
      </c>
      <c r="AR10" s="21"/>
      <c r="AS10" s="21"/>
      <c r="AT10" s="21"/>
      <c r="AU10" s="21" t="s">
        <v>40</v>
      </c>
      <c r="AV10" s="21"/>
      <c r="AW10" s="21"/>
      <c r="AX10" s="21"/>
      <c r="AY10" s="21"/>
      <c r="AZ10" s="21"/>
      <c r="BA10" s="21"/>
      <c r="BB10" s="21"/>
      <c r="BC10" s="21"/>
      <c r="BD10" s="22" t="s">
        <v>41</v>
      </c>
      <c r="BE10" s="22"/>
      <c r="BF10" s="22"/>
      <c r="BG10" s="23" t="str">
        <f aca="false">IFERROR(VLOOKUP('Cash ABC+ACZ'!BD10,Lookups111!A$4:B$38,2,FALSE()),"")</f>
        <v>Borc yüklülüyü çoxdur</v>
      </c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7" t="n">
        <v>3</v>
      </c>
      <c r="BV10" s="27"/>
      <c r="BW10" s="27"/>
      <c r="BX10" s="27"/>
      <c r="BY10" s="27"/>
      <c r="BZ10" s="24" t="n">
        <v>6</v>
      </c>
      <c r="CA10" s="24"/>
      <c r="CB10" s="24"/>
      <c r="CC10" s="24"/>
      <c r="CD10" s="24"/>
      <c r="CE10" s="24"/>
      <c r="CF10" s="24"/>
      <c r="CG10" s="24"/>
    </row>
    <row r="11" customFormat="false" ht="57" hidden="false" customHeight="true" outlineLevel="0" collapsed="false">
      <c r="A11" s="17" t="s">
        <v>42</v>
      </c>
      <c r="B11" s="17"/>
      <c r="C11" s="17"/>
      <c r="D11" s="17"/>
      <c r="E11" s="17"/>
      <c r="F11" s="17"/>
      <c r="G11" s="18" t="s">
        <v>15</v>
      </c>
      <c r="H11" s="18"/>
      <c r="I11" s="18"/>
      <c r="J11" s="18"/>
      <c r="K11" s="26" t="s">
        <v>43</v>
      </c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0" t="s">
        <v>17</v>
      </c>
      <c r="AP11" s="20" t="s">
        <v>18</v>
      </c>
      <c r="AQ11" s="21" t="s">
        <v>19</v>
      </c>
      <c r="AR11" s="21"/>
      <c r="AS11" s="21"/>
      <c r="AT11" s="21"/>
      <c r="AU11" s="21" t="s">
        <v>44</v>
      </c>
      <c r="AV11" s="21"/>
      <c r="AW11" s="21"/>
      <c r="AX11" s="21"/>
      <c r="AY11" s="21"/>
      <c r="AZ11" s="21"/>
      <c r="BA11" s="21"/>
      <c r="BB11" s="21"/>
      <c r="BC11" s="21"/>
      <c r="BD11" s="22" t="s">
        <v>45</v>
      </c>
      <c r="BE11" s="22"/>
      <c r="BF11" s="22"/>
      <c r="BG11" s="23" t="str">
        <f aca="false">IFERROR(VLOOKUP('Cash ABC+ACZ'!BD11,Lookups111!A$4:B$38,2,FALSE()),"")</f>
        <v>Əmək stajı azdır</v>
      </c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7" t="n">
        <v>3</v>
      </c>
      <c r="BV11" s="27"/>
      <c r="BW11" s="27"/>
      <c r="BX11" s="27"/>
      <c r="BY11" s="27"/>
      <c r="BZ11" s="24" t="n">
        <v>7</v>
      </c>
      <c r="CA11" s="24"/>
      <c r="CB11" s="24"/>
      <c r="CC11" s="24"/>
      <c r="CD11" s="24"/>
      <c r="CE11" s="24"/>
      <c r="CF11" s="24"/>
      <c r="CG11" s="24"/>
    </row>
    <row r="12" customFormat="false" ht="57" hidden="false" customHeight="true" outlineLevel="0" collapsed="false">
      <c r="A12" s="17" t="s">
        <v>46</v>
      </c>
      <c r="B12" s="17"/>
      <c r="C12" s="17"/>
      <c r="D12" s="17"/>
      <c r="E12" s="17"/>
      <c r="F12" s="17"/>
      <c r="G12" s="18" t="s">
        <v>15</v>
      </c>
      <c r="H12" s="18"/>
      <c r="I12" s="18"/>
      <c r="J12" s="18"/>
      <c r="K12" s="26" t="s">
        <v>47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0" t="s">
        <v>17</v>
      </c>
      <c r="AP12" s="20" t="s">
        <v>18</v>
      </c>
      <c r="AQ12" s="21" t="s">
        <v>19</v>
      </c>
      <c r="AR12" s="21"/>
      <c r="AS12" s="21"/>
      <c r="AT12" s="21"/>
      <c r="AU12" s="21" t="s">
        <v>48</v>
      </c>
      <c r="AV12" s="21"/>
      <c r="AW12" s="21"/>
      <c r="AX12" s="21"/>
      <c r="AY12" s="21"/>
      <c r="AZ12" s="21"/>
      <c r="BA12" s="21"/>
      <c r="BB12" s="21"/>
      <c r="BC12" s="21"/>
      <c r="BD12" s="22" t="s">
        <v>49</v>
      </c>
      <c r="BE12" s="22"/>
      <c r="BF12" s="22"/>
      <c r="BG12" s="23" t="str">
        <f aca="false">IFERROR(VLOOKUP('Cash ABC+ACZ'!BD12,Lookups111!A$4:B$38,2,FALSE()),"")</f>
        <v>Kobud rəftar</v>
      </c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7" t="n">
        <v>3</v>
      </c>
      <c r="BV12" s="27"/>
      <c r="BW12" s="27"/>
      <c r="BX12" s="27"/>
      <c r="BY12" s="27"/>
      <c r="BZ12" s="24" t="n">
        <v>8</v>
      </c>
      <c r="CA12" s="24"/>
      <c r="CB12" s="24"/>
      <c r="CC12" s="24"/>
      <c r="CD12" s="24"/>
      <c r="CE12" s="24"/>
      <c r="CF12" s="24"/>
      <c r="CG12" s="24"/>
    </row>
    <row r="13" customFormat="false" ht="57" hidden="false" customHeight="true" outlineLevel="0" collapsed="false">
      <c r="A13" s="17" t="s">
        <v>50</v>
      </c>
      <c r="B13" s="17"/>
      <c r="C13" s="17"/>
      <c r="D13" s="17"/>
      <c r="E13" s="17"/>
      <c r="F13" s="17"/>
      <c r="G13" s="18" t="s">
        <v>15</v>
      </c>
      <c r="H13" s="18"/>
      <c r="I13" s="18"/>
      <c r="J13" s="18"/>
      <c r="K13" s="19" t="s">
        <v>51</v>
      </c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0" t="s">
        <v>17</v>
      </c>
      <c r="AP13" s="20" t="s">
        <v>18</v>
      </c>
      <c r="AQ13" s="21" t="s">
        <v>19</v>
      </c>
      <c r="AR13" s="21"/>
      <c r="AS13" s="21"/>
      <c r="AT13" s="21"/>
      <c r="AU13" s="21" t="s">
        <v>52</v>
      </c>
      <c r="AV13" s="21"/>
      <c r="AW13" s="21"/>
      <c r="AX13" s="21"/>
      <c r="AY13" s="21"/>
      <c r="AZ13" s="21"/>
      <c r="BA13" s="21"/>
      <c r="BB13" s="21"/>
      <c r="BC13" s="21"/>
      <c r="BD13" s="22" t="s">
        <v>53</v>
      </c>
      <c r="BE13" s="22"/>
      <c r="BF13" s="22"/>
      <c r="BG13" s="23" t="str">
        <f aca="false">IFERROR(VLOOKUP('Cash ABC+ACZ'!BD13,Lookups111!A$4:B$38,2,FALSE()),"")</f>
        <v>Aktiv nağd kredit &lt; 50%</v>
      </c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6"/>
      <c r="BV13" s="26"/>
      <c r="BW13" s="26"/>
      <c r="BX13" s="26"/>
      <c r="BY13" s="26"/>
      <c r="BZ13" s="24" t="n">
        <v>9</v>
      </c>
      <c r="CA13" s="24"/>
      <c r="CB13" s="24"/>
      <c r="CC13" s="24"/>
      <c r="CD13" s="24"/>
      <c r="CE13" s="24"/>
      <c r="CF13" s="24"/>
      <c r="CG13" s="24"/>
    </row>
    <row r="14" customFormat="false" ht="57" hidden="false" customHeight="true" outlineLevel="0" collapsed="false">
      <c r="A14" s="17" t="s">
        <v>54</v>
      </c>
      <c r="B14" s="17"/>
      <c r="C14" s="17"/>
      <c r="D14" s="17"/>
      <c r="E14" s="17"/>
      <c r="F14" s="17"/>
      <c r="G14" s="18" t="s">
        <v>15</v>
      </c>
      <c r="H14" s="18"/>
      <c r="I14" s="18"/>
      <c r="J14" s="18"/>
      <c r="K14" s="19" t="s">
        <v>55</v>
      </c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0" t="s">
        <v>185</v>
      </c>
      <c r="AP14" s="20" t="s">
        <v>18</v>
      </c>
      <c r="AQ14" s="21" t="s">
        <v>19</v>
      </c>
      <c r="AR14" s="21"/>
      <c r="AS14" s="21"/>
      <c r="AT14" s="21"/>
      <c r="AU14" s="21" t="s">
        <v>56</v>
      </c>
      <c r="AV14" s="21"/>
      <c r="AW14" s="21"/>
      <c r="AX14" s="21"/>
      <c r="AY14" s="21"/>
      <c r="AZ14" s="21"/>
      <c r="BA14" s="21"/>
      <c r="BB14" s="21"/>
      <c r="BC14" s="21"/>
      <c r="BD14" s="22" t="s">
        <v>57</v>
      </c>
      <c r="BE14" s="22"/>
      <c r="BF14" s="22"/>
      <c r="BG14" s="23" t="str">
        <f aca="false">IFERROR(VLOOKUP('Cash ABC+ACZ'!BD14,Lookups111!A$4:B$38,2,FALSE()),"")</f>
        <v>Aktiv OnePoint krediti</v>
      </c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6"/>
      <c r="BV14" s="26"/>
      <c r="BW14" s="26"/>
      <c r="BX14" s="26"/>
      <c r="BY14" s="26"/>
      <c r="BZ14" s="24" t="n">
        <v>10</v>
      </c>
      <c r="CA14" s="24"/>
      <c r="CB14" s="24"/>
      <c r="CC14" s="24"/>
      <c r="CD14" s="24"/>
      <c r="CE14" s="24"/>
      <c r="CF14" s="24"/>
      <c r="CG14" s="24"/>
    </row>
    <row r="15" customFormat="false" ht="57" hidden="false" customHeight="true" outlineLevel="0" collapsed="false">
      <c r="A15" s="17" t="s">
        <v>58</v>
      </c>
      <c r="B15" s="17"/>
      <c r="C15" s="17"/>
      <c r="D15" s="17"/>
      <c r="E15" s="17"/>
      <c r="F15" s="17"/>
      <c r="G15" s="18" t="s">
        <v>15</v>
      </c>
      <c r="H15" s="18"/>
      <c r="I15" s="18"/>
      <c r="J15" s="18"/>
      <c r="K15" s="26" t="s">
        <v>59</v>
      </c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0" t="s">
        <v>185</v>
      </c>
      <c r="AP15" s="20" t="s">
        <v>18</v>
      </c>
      <c r="AQ15" s="21" t="s">
        <v>19</v>
      </c>
      <c r="AR15" s="21"/>
      <c r="AS15" s="21"/>
      <c r="AT15" s="21"/>
      <c r="AU15" s="21" t="s">
        <v>60</v>
      </c>
      <c r="AV15" s="21"/>
      <c r="AW15" s="21"/>
      <c r="AX15" s="21"/>
      <c r="AY15" s="21"/>
      <c r="AZ15" s="21"/>
      <c r="BA15" s="21"/>
      <c r="BB15" s="21"/>
      <c r="BC15" s="21"/>
      <c r="BD15" s="22" t="s">
        <v>61</v>
      </c>
      <c r="BE15" s="22"/>
      <c r="BF15" s="22"/>
      <c r="BG15" s="23" t="str">
        <f aca="false">IFERROR(VLOOKUP('Cash ABC+ACZ'!BD15,Lookups111!A$4:B$38,2,FALSE()),"")</f>
        <v>Cari gecikma</v>
      </c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6"/>
      <c r="BV15" s="26"/>
      <c r="BW15" s="26"/>
      <c r="BX15" s="26"/>
      <c r="BY15" s="26"/>
      <c r="BZ15" s="24" t="n">
        <v>11</v>
      </c>
      <c r="CA15" s="24"/>
      <c r="CB15" s="24"/>
      <c r="CC15" s="24"/>
      <c r="CD15" s="24"/>
      <c r="CE15" s="24"/>
      <c r="CF15" s="24"/>
      <c r="CG15" s="24"/>
    </row>
    <row r="16" s="29" customFormat="true" ht="20.25" hidden="false" customHeight="true" outlineLevel="0" collapsed="false">
      <c r="A16" s="28" t="s">
        <v>62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</row>
    <row r="17" customFormat="false" ht="15" hidden="false" customHeight="true" outlineLevel="0" collapsed="false">
      <c r="A17" s="18" t="s">
        <v>63</v>
      </c>
      <c r="B17" s="18"/>
      <c r="C17" s="18"/>
      <c r="D17" s="18"/>
      <c r="E17" s="18"/>
      <c r="F17" s="18"/>
      <c r="G17" s="18" t="s">
        <v>15</v>
      </c>
      <c r="H17" s="18"/>
      <c r="I17" s="18"/>
      <c r="J17" s="18"/>
      <c r="K17" s="23" t="s">
        <v>64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 t="s">
        <v>65</v>
      </c>
      <c r="AA17" s="23"/>
      <c r="AB17" s="23"/>
      <c r="AC17" s="23"/>
      <c r="AD17" s="23"/>
      <c r="AE17" s="23"/>
      <c r="AF17" s="23"/>
      <c r="AG17" s="23"/>
      <c r="AH17" s="23"/>
      <c r="AI17" s="30" t="n">
        <v>20</v>
      </c>
      <c r="AJ17" s="30"/>
      <c r="AK17" s="30"/>
      <c r="AL17" s="30"/>
      <c r="AM17" s="30"/>
      <c r="AN17" s="30"/>
      <c r="AO17" s="20" t="s">
        <v>185</v>
      </c>
      <c r="AP17" s="20" t="s">
        <v>18</v>
      </c>
      <c r="AQ17" s="21" t="s">
        <v>19</v>
      </c>
      <c r="AR17" s="21"/>
      <c r="AS17" s="21"/>
      <c r="AT17" s="21"/>
      <c r="AU17" s="21" t="s">
        <v>64</v>
      </c>
      <c r="AV17" s="21"/>
      <c r="AW17" s="21"/>
      <c r="AX17" s="21"/>
      <c r="AY17" s="21"/>
      <c r="AZ17" s="21"/>
      <c r="BA17" s="21"/>
      <c r="BB17" s="21"/>
      <c r="BC17" s="21"/>
      <c r="BD17" s="22" t="s">
        <v>67</v>
      </c>
      <c r="BE17" s="22"/>
      <c r="BF17" s="22"/>
      <c r="BG17" s="23" t="str">
        <f aca="false">IFERROR(VLOOKUP(BD17,Lookups111!A$4:B$38,2,FALSE()),"")</f>
        <v>Yaş həddi</v>
      </c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31"/>
      <c r="BV17" s="31"/>
      <c r="BW17" s="31"/>
      <c r="BX17" s="31"/>
      <c r="BY17" s="31"/>
      <c r="BZ17" s="32" t="n">
        <v>1</v>
      </c>
      <c r="CA17" s="32"/>
      <c r="CB17" s="32"/>
      <c r="CC17" s="32"/>
      <c r="CD17" s="32"/>
      <c r="CE17" s="32"/>
      <c r="CF17" s="32"/>
      <c r="CG17" s="32"/>
    </row>
    <row r="18" customFormat="false" ht="36" hidden="false" customHeight="true" outlineLevel="0" collapsed="false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 t="s">
        <v>68</v>
      </c>
      <c r="AA18" s="23"/>
      <c r="AB18" s="23"/>
      <c r="AC18" s="23"/>
      <c r="AD18" s="23"/>
      <c r="AE18" s="23"/>
      <c r="AF18" s="23"/>
      <c r="AG18" s="23"/>
      <c r="AH18" s="23"/>
      <c r="AI18" s="30" t="n">
        <v>65</v>
      </c>
      <c r="AJ18" s="30"/>
      <c r="AK18" s="30"/>
      <c r="AL18" s="30"/>
      <c r="AM18" s="30"/>
      <c r="AN18" s="30"/>
      <c r="AO18" s="20"/>
      <c r="AP18" s="20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2"/>
      <c r="BE18" s="22"/>
      <c r="BF18" s="22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31"/>
      <c r="BV18" s="31"/>
      <c r="BW18" s="31"/>
      <c r="BX18" s="31"/>
      <c r="BY18" s="31"/>
      <c r="BZ18" s="32"/>
      <c r="CA18" s="32"/>
      <c r="CB18" s="32"/>
      <c r="CC18" s="32"/>
      <c r="CD18" s="32"/>
      <c r="CE18" s="32"/>
      <c r="CF18" s="32"/>
      <c r="CG18" s="32"/>
    </row>
    <row r="19" s="29" customFormat="true" ht="20.25" hidden="false" customHeight="true" outlineLevel="0" collapsed="false">
      <c r="A19" s="28" t="s">
        <v>69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33" t="s">
        <v>11</v>
      </c>
      <c r="AP19" s="34" t="s">
        <v>12</v>
      </c>
      <c r="AQ19" s="34" t="s">
        <v>13</v>
      </c>
      <c r="AR19" s="34"/>
      <c r="AS19" s="34"/>
      <c r="AT19" s="34"/>
      <c r="AU19" s="35"/>
      <c r="AV19" s="35"/>
      <c r="AW19" s="35"/>
      <c r="AX19" s="35"/>
      <c r="AY19" s="35"/>
      <c r="AZ19" s="35"/>
      <c r="BA19" s="35"/>
      <c r="BB19" s="35"/>
      <c r="BC19" s="35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</row>
    <row r="20" customFormat="false" ht="68.25" hidden="false" customHeight="true" outlineLevel="0" collapsed="false">
      <c r="A20" s="20" t="s">
        <v>70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 t="s">
        <v>185</v>
      </c>
      <c r="AP20" s="20" t="s">
        <v>18</v>
      </c>
      <c r="AQ20" s="21" t="s">
        <v>19</v>
      </c>
      <c r="AR20" s="21"/>
      <c r="AS20" s="21"/>
      <c r="AT20" s="21"/>
      <c r="AU20" s="21" t="s">
        <v>71</v>
      </c>
      <c r="AV20" s="21"/>
      <c r="AW20" s="21"/>
      <c r="AX20" s="21"/>
      <c r="AY20" s="21"/>
      <c r="AZ20" s="21"/>
      <c r="BA20" s="21"/>
      <c r="BB20" s="21"/>
      <c r="BC20" s="21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36"/>
      <c r="CG20" s="36"/>
    </row>
    <row r="21" customFormat="false" ht="78" hidden="false" customHeight="true" outlineLevel="0" collapsed="false">
      <c r="A21" s="20" t="s">
        <v>72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 t="s">
        <v>185</v>
      </c>
      <c r="AP21" s="20" t="s">
        <v>18</v>
      </c>
      <c r="AQ21" s="21" t="s">
        <v>19</v>
      </c>
      <c r="AR21" s="21"/>
      <c r="AS21" s="21"/>
      <c r="AT21" s="21"/>
      <c r="AU21" s="21" t="s">
        <v>72</v>
      </c>
      <c r="AV21" s="21"/>
      <c r="AW21" s="21"/>
      <c r="AX21" s="21"/>
      <c r="AY21" s="21"/>
      <c r="AZ21" s="21"/>
      <c r="BA21" s="21"/>
      <c r="BB21" s="21"/>
      <c r="BC21" s="21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6"/>
    </row>
    <row r="22" customFormat="false" ht="68.25" hidden="false" customHeight="true" outlineLevel="0" collapsed="false">
      <c r="A22" s="20" t="s">
        <v>73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 t="s">
        <v>185</v>
      </c>
      <c r="AP22" s="20" t="s">
        <v>18</v>
      </c>
      <c r="AQ22" s="21" t="s">
        <v>19</v>
      </c>
      <c r="AR22" s="21"/>
      <c r="AS22" s="21"/>
      <c r="AT22" s="21"/>
      <c r="AU22" s="21" t="s">
        <v>73</v>
      </c>
      <c r="AV22" s="21"/>
      <c r="AW22" s="21"/>
      <c r="AX22" s="21"/>
      <c r="AY22" s="21"/>
      <c r="AZ22" s="21"/>
      <c r="BA22" s="21"/>
      <c r="BB22" s="21"/>
      <c r="BC22" s="21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</row>
    <row r="23" customFormat="false" ht="51.75" hidden="false" customHeight="true" outlineLevel="0" collapsed="false">
      <c r="A23" s="20" t="s">
        <v>74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 t="s">
        <v>75</v>
      </c>
      <c r="AP23" s="20" t="s">
        <v>66</v>
      </c>
      <c r="AQ23" s="21" t="s">
        <v>76</v>
      </c>
      <c r="AR23" s="21"/>
      <c r="AS23" s="21"/>
      <c r="AT23" s="21"/>
      <c r="AU23" s="37"/>
      <c r="AV23" s="38"/>
      <c r="AW23" s="38"/>
      <c r="AX23" s="38"/>
      <c r="AY23" s="38"/>
      <c r="AZ23" s="38"/>
      <c r="BA23" s="38"/>
      <c r="BB23" s="38"/>
      <c r="BC23" s="39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  <c r="BS23" s="36"/>
      <c r="BT23" s="36"/>
      <c r="BU23" s="36"/>
      <c r="BV23" s="36"/>
      <c r="BW23" s="36"/>
      <c r="BX23" s="36"/>
      <c r="BY23" s="36"/>
      <c r="BZ23" s="36"/>
      <c r="CA23" s="36"/>
      <c r="CB23" s="36"/>
      <c r="CC23" s="36"/>
      <c r="CD23" s="36"/>
      <c r="CE23" s="36"/>
      <c r="CF23" s="36"/>
      <c r="CG23" s="36"/>
    </row>
    <row r="24" customFormat="false" ht="51" hidden="false" customHeight="true" outlineLevel="0" collapsed="false">
      <c r="A24" s="20" t="s">
        <v>77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 t="s">
        <v>75</v>
      </c>
      <c r="AP24" s="20" t="s">
        <v>66</v>
      </c>
      <c r="AQ24" s="21" t="s">
        <v>78</v>
      </c>
      <c r="AR24" s="21"/>
      <c r="AS24" s="21"/>
      <c r="AT24" s="21"/>
      <c r="AU24" s="37"/>
      <c r="AV24" s="38"/>
      <c r="AW24" s="38"/>
      <c r="AX24" s="38"/>
      <c r="AY24" s="38"/>
      <c r="AZ24" s="38"/>
      <c r="BA24" s="38"/>
      <c r="BB24" s="38"/>
      <c r="BC24" s="39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  <c r="BP24" s="36"/>
      <c r="BQ24" s="36"/>
      <c r="BR24" s="36"/>
      <c r="BS24" s="36"/>
      <c r="BT24" s="36"/>
      <c r="BU24" s="36"/>
      <c r="BV24" s="36"/>
      <c r="BW24" s="36"/>
      <c r="BX24" s="36"/>
      <c r="BY24" s="36"/>
      <c r="BZ24" s="36"/>
      <c r="CA24" s="36"/>
      <c r="CB24" s="36"/>
      <c r="CC24" s="36"/>
      <c r="CD24" s="36"/>
      <c r="CE24" s="36"/>
      <c r="CF24" s="36"/>
      <c r="CG24" s="36"/>
    </row>
    <row r="25" customFormat="false" ht="51" hidden="false" customHeight="true" outlineLevel="0" collapsed="false">
      <c r="A25" s="20" t="s">
        <v>79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 t="s">
        <v>75</v>
      </c>
      <c r="AP25" s="20" t="s">
        <v>66</v>
      </c>
      <c r="AQ25" s="21" t="s">
        <v>80</v>
      </c>
      <c r="AR25" s="21"/>
      <c r="AS25" s="21"/>
      <c r="AT25" s="21"/>
      <c r="AU25" s="37"/>
      <c r="AV25" s="38"/>
      <c r="AW25" s="38"/>
      <c r="AX25" s="38"/>
      <c r="AY25" s="38"/>
      <c r="AZ25" s="38"/>
      <c r="BA25" s="38"/>
      <c r="BB25" s="38"/>
      <c r="BC25" s="39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</row>
    <row r="26" customFormat="false" ht="51" hidden="false" customHeight="true" outlineLevel="0" collapsed="false">
      <c r="A26" s="20" t="s">
        <v>81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 t="s">
        <v>75</v>
      </c>
      <c r="AP26" s="20" t="s">
        <v>66</v>
      </c>
      <c r="AQ26" s="21" t="s">
        <v>82</v>
      </c>
      <c r="AR26" s="21"/>
      <c r="AS26" s="21"/>
      <c r="AT26" s="21"/>
      <c r="AU26" s="37"/>
      <c r="AV26" s="38"/>
      <c r="AW26" s="38"/>
      <c r="AX26" s="38"/>
      <c r="AY26" s="38"/>
      <c r="AZ26" s="38"/>
      <c r="BA26" s="38"/>
      <c r="BB26" s="38"/>
      <c r="BC26" s="39"/>
      <c r="BD26" s="36"/>
      <c r="BE26" s="36"/>
      <c r="BF26" s="36"/>
      <c r="BG26" s="36"/>
      <c r="BH26" s="36"/>
      <c r="BI26" s="36"/>
      <c r="BJ26" s="36"/>
      <c r="BK26" s="36"/>
      <c r="BL26" s="36"/>
      <c r="BM26" s="36"/>
      <c r="BN26" s="36"/>
      <c r="BO26" s="36"/>
      <c r="BP26" s="36"/>
      <c r="BQ26" s="36"/>
      <c r="BR26" s="36"/>
      <c r="BS26" s="36"/>
      <c r="BT26" s="36"/>
      <c r="BU26" s="36"/>
      <c r="BV26" s="36"/>
      <c r="BW26" s="36"/>
      <c r="BX26" s="36"/>
      <c r="BY26" s="36"/>
      <c r="BZ26" s="36"/>
      <c r="CA26" s="36"/>
      <c r="CB26" s="36"/>
      <c r="CC26" s="36"/>
      <c r="CD26" s="36"/>
      <c r="CE26" s="36"/>
      <c r="CF26" s="36"/>
      <c r="CG26" s="36"/>
    </row>
    <row r="27" customFormat="false" ht="30" hidden="false" customHeight="true" outlineLevel="0" collapsed="false">
      <c r="A27" s="20" t="s">
        <v>83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 t="s">
        <v>75</v>
      </c>
      <c r="AP27" s="20" t="s">
        <v>66</v>
      </c>
      <c r="AQ27" s="21" t="s">
        <v>84</v>
      </c>
      <c r="AR27" s="21"/>
      <c r="AS27" s="21"/>
      <c r="AT27" s="21"/>
      <c r="AU27" s="37"/>
      <c r="AV27" s="38"/>
      <c r="AW27" s="38"/>
      <c r="AX27" s="38"/>
      <c r="AY27" s="38"/>
      <c r="AZ27" s="38"/>
      <c r="BA27" s="38"/>
      <c r="BB27" s="38"/>
      <c r="BC27" s="39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  <c r="BY27" s="36"/>
      <c r="BZ27" s="36"/>
      <c r="CA27" s="36"/>
      <c r="CB27" s="36"/>
      <c r="CC27" s="36"/>
      <c r="CD27" s="36"/>
      <c r="CE27" s="36"/>
      <c r="CF27" s="36"/>
      <c r="CG27" s="36"/>
    </row>
    <row r="28" customFormat="false" ht="63" hidden="false" customHeight="true" outlineLevel="0" collapsed="false">
      <c r="A28" s="20" t="s">
        <v>85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 t="s">
        <v>17</v>
      </c>
      <c r="AP28" s="20" t="s">
        <v>18</v>
      </c>
      <c r="AQ28" s="21" t="s">
        <v>19</v>
      </c>
      <c r="AR28" s="21"/>
      <c r="AS28" s="21"/>
      <c r="AT28" s="21"/>
      <c r="AU28" s="37"/>
      <c r="AV28" s="40"/>
      <c r="AW28" s="40"/>
      <c r="AX28" s="40"/>
      <c r="AY28" s="40"/>
      <c r="AZ28" s="40"/>
      <c r="BA28" s="40"/>
      <c r="BB28" s="40"/>
      <c r="BC28" s="41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  <c r="BS28" s="36"/>
      <c r="BT28" s="36"/>
      <c r="BU28" s="36"/>
      <c r="BV28" s="36"/>
      <c r="BW28" s="36"/>
      <c r="BX28" s="36"/>
      <c r="BY28" s="36"/>
      <c r="BZ28" s="36"/>
      <c r="CA28" s="36"/>
      <c r="CB28" s="36"/>
      <c r="CC28" s="36"/>
      <c r="CD28" s="36"/>
      <c r="CE28" s="36"/>
      <c r="CF28" s="36"/>
      <c r="CG28" s="36"/>
    </row>
    <row r="29" customFormat="false" ht="33.75" hidden="false" customHeight="true" outlineLevel="0" collapsed="false">
      <c r="A29" s="20" t="s">
        <v>86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 t="s">
        <v>75</v>
      </c>
      <c r="AP29" s="20" t="s">
        <v>66</v>
      </c>
      <c r="AQ29" s="21" t="s">
        <v>87</v>
      </c>
      <c r="AR29" s="21"/>
      <c r="AS29" s="21"/>
      <c r="AT29" s="21"/>
      <c r="AU29" s="37"/>
      <c r="AV29" s="40"/>
      <c r="AW29" s="40"/>
      <c r="AX29" s="40"/>
      <c r="AY29" s="40"/>
      <c r="AZ29" s="40"/>
      <c r="BA29" s="40"/>
      <c r="BB29" s="40"/>
      <c r="BC29" s="41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  <c r="BW29" s="36"/>
      <c r="BX29" s="36"/>
      <c r="BY29" s="36"/>
      <c r="BZ29" s="36"/>
      <c r="CA29" s="36"/>
      <c r="CB29" s="36"/>
      <c r="CC29" s="36"/>
      <c r="CD29" s="36"/>
      <c r="CE29" s="36"/>
      <c r="CF29" s="36"/>
      <c r="CG29" s="36"/>
    </row>
    <row r="30" customFormat="false" ht="48.75" hidden="false" customHeight="true" outlineLevel="0" collapsed="false">
      <c r="A30" s="20" t="s">
        <v>88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 t="s">
        <v>89</v>
      </c>
      <c r="AP30" s="20" t="s">
        <v>66</v>
      </c>
      <c r="AQ30" s="21" t="s">
        <v>90</v>
      </c>
      <c r="AR30" s="21"/>
      <c r="AS30" s="21"/>
      <c r="AT30" s="21"/>
      <c r="AU30" s="37"/>
      <c r="AV30" s="40"/>
      <c r="AW30" s="40"/>
      <c r="AX30" s="40"/>
      <c r="AY30" s="40"/>
      <c r="AZ30" s="40"/>
      <c r="BA30" s="40"/>
      <c r="BB30" s="40"/>
      <c r="BC30" s="41"/>
      <c r="BD30" s="36"/>
      <c r="BE30" s="36"/>
      <c r="BF30" s="36"/>
      <c r="BG30" s="36"/>
      <c r="BH30" s="36"/>
      <c r="BI30" s="36"/>
      <c r="BJ30" s="36"/>
      <c r="BK30" s="36"/>
      <c r="BL30" s="36"/>
      <c r="BM30" s="36"/>
      <c r="BN30" s="36"/>
      <c r="BO30" s="36"/>
      <c r="BP30" s="36"/>
      <c r="BQ30" s="36"/>
      <c r="BR30" s="36"/>
      <c r="BS30" s="36"/>
      <c r="BT30" s="36"/>
      <c r="BU30" s="36"/>
      <c r="BV30" s="36"/>
      <c r="BW30" s="36"/>
      <c r="BX30" s="36"/>
      <c r="BY30" s="36"/>
      <c r="BZ30" s="36"/>
      <c r="CA30" s="36"/>
      <c r="CB30" s="36"/>
      <c r="CC30" s="36"/>
      <c r="CD30" s="36"/>
      <c r="CE30" s="36"/>
      <c r="CF30" s="36"/>
      <c r="CG30" s="36"/>
    </row>
    <row r="31" customFormat="false" ht="15" hidden="false" customHeight="true" outlineLevel="0" collapsed="false">
      <c r="A31" s="18" t="s">
        <v>91</v>
      </c>
      <c r="B31" s="18"/>
      <c r="C31" s="18"/>
      <c r="D31" s="18"/>
      <c r="E31" s="18"/>
      <c r="F31" s="18"/>
      <c r="G31" s="18" t="s">
        <v>15</v>
      </c>
      <c r="H31" s="18"/>
      <c r="I31" s="18"/>
      <c r="J31" s="18"/>
      <c r="K31" s="42" t="s">
        <v>212</v>
      </c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23" t="s">
        <v>93</v>
      </c>
      <c r="AA31" s="23"/>
      <c r="AB31" s="23"/>
      <c r="AC31" s="23"/>
      <c r="AD31" s="23"/>
      <c r="AE31" s="23"/>
      <c r="AF31" s="23"/>
      <c r="AG31" s="23"/>
      <c r="AH31" s="23"/>
      <c r="AI31" s="43" t="n">
        <v>100</v>
      </c>
      <c r="AJ31" s="43"/>
      <c r="AK31" s="43"/>
      <c r="AL31" s="43"/>
      <c r="AM31" s="43"/>
      <c r="AN31" s="43"/>
      <c r="AO31" s="20" t="s">
        <v>17</v>
      </c>
      <c r="AP31" s="20" t="s">
        <v>18</v>
      </c>
      <c r="AQ31" s="20" t="s">
        <v>94</v>
      </c>
      <c r="AR31" s="20"/>
      <c r="AS31" s="20"/>
      <c r="AT31" s="20"/>
      <c r="AU31" s="20" t="s">
        <v>213</v>
      </c>
      <c r="AV31" s="20"/>
      <c r="AW31" s="20"/>
      <c r="AX31" s="20"/>
      <c r="AY31" s="20"/>
      <c r="AZ31" s="20"/>
      <c r="BA31" s="20"/>
      <c r="BB31" s="20"/>
      <c r="BC31" s="20"/>
      <c r="BD31" s="31" t="s">
        <v>96</v>
      </c>
      <c r="BE31" s="31"/>
      <c r="BF31" s="31"/>
      <c r="BG31" s="42" t="s">
        <v>214</v>
      </c>
      <c r="BH31" s="42"/>
      <c r="BI31" s="42"/>
      <c r="BJ31" s="42"/>
      <c r="BK31" s="42"/>
      <c r="BL31" s="42"/>
      <c r="BM31" s="42"/>
      <c r="BN31" s="42"/>
      <c r="BO31" s="42"/>
      <c r="BP31" s="42"/>
      <c r="BQ31" s="42"/>
      <c r="BR31" s="42"/>
      <c r="BS31" s="42"/>
      <c r="BT31" s="42"/>
      <c r="BU31" s="22"/>
      <c r="BV31" s="22"/>
      <c r="BW31" s="22"/>
      <c r="BX31" s="22"/>
      <c r="BY31" s="22"/>
      <c r="BZ31" s="32" t="n">
        <v>2</v>
      </c>
      <c r="CA31" s="32"/>
      <c r="CB31" s="32"/>
      <c r="CC31" s="32"/>
      <c r="CD31" s="32"/>
      <c r="CE31" s="32"/>
      <c r="CF31" s="32"/>
      <c r="CG31" s="32"/>
    </row>
    <row r="32" customFormat="false" ht="15" hidden="false" customHeight="true" outlineLevel="0" collapsed="false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23"/>
      <c r="AA32" s="23"/>
      <c r="AB32" s="23"/>
      <c r="AC32" s="23"/>
      <c r="AD32" s="23"/>
      <c r="AE32" s="23"/>
      <c r="AF32" s="23"/>
      <c r="AG32" s="23"/>
      <c r="AH32" s="23"/>
      <c r="AI32" s="43"/>
      <c r="AJ32" s="43"/>
      <c r="AK32" s="43"/>
      <c r="AL32" s="43"/>
      <c r="AM32" s="43"/>
      <c r="AN32" s="43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31"/>
      <c r="BE32" s="31"/>
      <c r="BF32" s="31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22"/>
      <c r="BV32" s="22"/>
      <c r="BW32" s="22"/>
      <c r="BX32" s="22"/>
      <c r="BY32" s="22"/>
      <c r="BZ32" s="32"/>
      <c r="CA32" s="32"/>
      <c r="CB32" s="32"/>
      <c r="CC32" s="32"/>
      <c r="CD32" s="32"/>
      <c r="CE32" s="32"/>
      <c r="CF32" s="32"/>
      <c r="CG32" s="32"/>
    </row>
    <row r="33" s="29" customFormat="true" ht="20.25" hidden="false" customHeight="true" outlineLevel="0" collapsed="false">
      <c r="A33" s="28" t="s">
        <v>97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44" t="s">
        <v>11</v>
      </c>
      <c r="AP33" s="45" t="s">
        <v>12</v>
      </c>
      <c r="AQ33" s="46" t="s">
        <v>13</v>
      </c>
      <c r="AR33" s="47"/>
      <c r="AS33" s="47"/>
      <c r="AT33" s="47"/>
      <c r="AU33" s="48" t="s">
        <v>98</v>
      </c>
      <c r="AV33" s="48"/>
      <c r="AW33" s="48"/>
      <c r="AX33" s="48"/>
      <c r="AY33" s="48"/>
      <c r="AZ33" s="48"/>
      <c r="BA33" s="48"/>
      <c r="BB33" s="48"/>
      <c r="BC33" s="4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28"/>
      <c r="CB33" s="28"/>
      <c r="CC33" s="28"/>
      <c r="CD33" s="28"/>
      <c r="CE33" s="28"/>
      <c r="CF33" s="28"/>
      <c r="CG33" s="28"/>
    </row>
    <row r="34" customFormat="false" ht="21.75" hidden="false" customHeight="true" outlineLevel="0" collapsed="false">
      <c r="A34" s="18"/>
      <c r="B34" s="18"/>
      <c r="C34" s="18"/>
      <c r="D34" s="18"/>
      <c r="E34" s="18"/>
      <c r="F34" s="18"/>
      <c r="G34" s="18" t="s">
        <v>15</v>
      </c>
      <c r="H34" s="18"/>
      <c r="I34" s="18"/>
      <c r="J34" s="18"/>
      <c r="K34" s="42" t="s">
        <v>215</v>
      </c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1" t="s">
        <v>66</v>
      </c>
      <c r="AP34" s="21" t="s">
        <v>18</v>
      </c>
      <c r="AQ34" s="21" t="s">
        <v>87</v>
      </c>
      <c r="AR34" s="21"/>
      <c r="AS34" s="21"/>
      <c r="AT34" s="21"/>
      <c r="AU34" s="21" t="s">
        <v>215</v>
      </c>
      <c r="AV34" s="21"/>
      <c r="AW34" s="21"/>
      <c r="AX34" s="21"/>
      <c r="AY34" s="21"/>
      <c r="AZ34" s="21"/>
      <c r="BA34" s="21"/>
      <c r="BB34" s="21"/>
      <c r="BC34" s="21"/>
      <c r="BD34" s="22" t="s">
        <v>103</v>
      </c>
      <c r="BE34" s="22"/>
      <c r="BF34" s="22"/>
      <c r="BG34" s="23" t="s">
        <v>215</v>
      </c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2"/>
      <c r="BV34" s="22"/>
      <c r="BW34" s="22"/>
      <c r="BX34" s="22"/>
      <c r="BY34" s="22"/>
      <c r="BZ34" s="32" t="n">
        <v>1</v>
      </c>
      <c r="CA34" s="32"/>
      <c r="CB34" s="32"/>
      <c r="CC34" s="32"/>
      <c r="CD34" s="32"/>
      <c r="CE34" s="32"/>
      <c r="CF34" s="32"/>
      <c r="CG34" s="32"/>
    </row>
    <row r="35" customFormat="false" ht="21.75" hidden="false" customHeight="true" outlineLevel="0" collapsed="false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2"/>
      <c r="BE35" s="22"/>
      <c r="BF35" s="22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2"/>
      <c r="BV35" s="22"/>
      <c r="BW35" s="22"/>
      <c r="BX35" s="22"/>
      <c r="BY35" s="22"/>
      <c r="BZ35" s="32"/>
      <c r="CA35" s="32"/>
      <c r="CB35" s="32"/>
      <c r="CC35" s="32"/>
      <c r="CD35" s="32"/>
      <c r="CE35" s="32"/>
      <c r="CF35" s="32"/>
      <c r="CG35" s="32"/>
    </row>
    <row r="36" customFormat="false" ht="42.75" hidden="false" customHeight="true" outlineLevel="0" collapsed="false">
      <c r="A36" s="17"/>
      <c r="B36" s="17"/>
      <c r="C36" s="17"/>
      <c r="D36" s="17"/>
      <c r="E36" s="17"/>
      <c r="F36" s="17"/>
      <c r="G36" s="18" t="s">
        <v>15</v>
      </c>
      <c r="H36" s="18"/>
      <c r="I36" s="18"/>
      <c r="J36" s="18"/>
      <c r="K36" s="26" t="s">
        <v>216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7" t="s">
        <v>66</v>
      </c>
      <c r="AP36" s="37" t="s">
        <v>18</v>
      </c>
      <c r="AQ36" s="21" t="s">
        <v>87</v>
      </c>
      <c r="AR36" s="21"/>
      <c r="AS36" s="21"/>
      <c r="AT36" s="21"/>
      <c r="AU36" s="21" t="s">
        <v>216</v>
      </c>
      <c r="AV36" s="21"/>
      <c r="AW36" s="21"/>
      <c r="AX36" s="21"/>
      <c r="AY36" s="21"/>
      <c r="AZ36" s="21"/>
      <c r="BA36" s="21"/>
      <c r="BB36" s="21"/>
      <c r="BC36" s="21"/>
      <c r="BD36" s="22" t="s">
        <v>109</v>
      </c>
      <c r="BE36" s="22"/>
      <c r="BF36" s="22"/>
      <c r="BG36" s="23" t="str">
        <f aca="false">IFERROR(VLOOKUP('Cash Cuzdan Wallet'!BD35,Lookups111!A$4:B$38,2,FALSE()),"")</f>
        <v/>
      </c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19"/>
      <c r="BV36" s="19"/>
      <c r="BW36" s="19"/>
      <c r="BX36" s="19"/>
      <c r="BY36" s="19"/>
      <c r="BZ36" s="24" t="n">
        <v>2</v>
      </c>
      <c r="CA36" s="24"/>
      <c r="CB36" s="24"/>
      <c r="CC36" s="24"/>
      <c r="CD36" s="24"/>
      <c r="CE36" s="24"/>
      <c r="CF36" s="24"/>
      <c r="CG36" s="24"/>
    </row>
    <row r="37" customFormat="false" ht="28.5" hidden="false" customHeight="true" outlineLevel="0" collapsed="false">
      <c r="A37" s="17" t="s">
        <v>115</v>
      </c>
      <c r="B37" s="17"/>
      <c r="C37" s="17"/>
      <c r="D37" s="17"/>
      <c r="E37" s="17"/>
      <c r="F37" s="17"/>
      <c r="G37" s="51" t="s">
        <v>15</v>
      </c>
      <c r="H37" s="51"/>
      <c r="I37" s="51"/>
      <c r="J37" s="51"/>
      <c r="K37" s="26" t="s">
        <v>116</v>
      </c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37" t="s">
        <v>66</v>
      </c>
      <c r="AP37" s="37" t="s">
        <v>18</v>
      </c>
      <c r="AQ37" s="21" t="s">
        <v>87</v>
      </c>
      <c r="AR37" s="21"/>
      <c r="AS37" s="21"/>
      <c r="AT37" s="21"/>
      <c r="AU37" s="21" t="s">
        <v>117</v>
      </c>
      <c r="AV37" s="21"/>
      <c r="AW37" s="21"/>
      <c r="AX37" s="21"/>
      <c r="AY37" s="21"/>
      <c r="AZ37" s="21"/>
      <c r="BA37" s="21"/>
      <c r="BB37" s="21"/>
      <c r="BC37" s="21"/>
      <c r="BD37" s="22" t="s">
        <v>118</v>
      </c>
      <c r="BE37" s="22"/>
      <c r="BF37" s="22"/>
      <c r="BG37" s="23" t="s">
        <v>217</v>
      </c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19"/>
      <c r="BV37" s="19"/>
      <c r="BW37" s="19"/>
      <c r="BX37" s="19"/>
      <c r="BY37" s="19"/>
      <c r="BZ37" s="24" t="n">
        <v>4</v>
      </c>
      <c r="CA37" s="24"/>
      <c r="CB37" s="24"/>
      <c r="CC37" s="24"/>
      <c r="CD37" s="24"/>
      <c r="CE37" s="24"/>
      <c r="CF37" s="24"/>
      <c r="CG37" s="24"/>
      <c r="CN37" s="53"/>
      <c r="CO37" s="53"/>
      <c r="CP37" s="53"/>
      <c r="CQ37" s="53"/>
      <c r="CR37" s="53"/>
      <c r="CS37" s="53"/>
      <c r="CT37" s="53"/>
      <c r="CU37" s="53"/>
      <c r="CV37" s="53"/>
      <c r="CW37" s="53"/>
      <c r="CX37" s="53"/>
      <c r="CY37" s="53"/>
      <c r="CZ37" s="53"/>
      <c r="DA37" s="53"/>
      <c r="DB37" s="53"/>
    </row>
    <row r="38" customFormat="false" ht="15" hidden="false" customHeight="true" outlineLevel="0" collapsed="false">
      <c r="A38" s="18"/>
      <c r="B38" s="18"/>
      <c r="C38" s="18"/>
      <c r="D38" s="18"/>
      <c r="E38" s="18"/>
      <c r="F38" s="18"/>
      <c r="G38" s="18" t="s">
        <v>15</v>
      </c>
      <c r="H38" s="18"/>
      <c r="I38" s="18"/>
      <c r="J38" s="18"/>
      <c r="K38" s="42" t="s">
        <v>218</v>
      </c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21" t="s">
        <v>66</v>
      </c>
      <c r="AP38" s="21" t="s">
        <v>18</v>
      </c>
      <c r="AQ38" s="21" t="s">
        <v>87</v>
      </c>
      <c r="AR38" s="21"/>
      <c r="AS38" s="21"/>
      <c r="AT38" s="21"/>
      <c r="AU38" s="21" t="s">
        <v>218</v>
      </c>
      <c r="AV38" s="21"/>
      <c r="AW38" s="21"/>
      <c r="AX38" s="21"/>
      <c r="AY38" s="21"/>
      <c r="AZ38" s="21"/>
      <c r="BA38" s="21"/>
      <c r="BB38" s="21"/>
      <c r="BC38" s="21"/>
      <c r="BD38" s="22" t="s">
        <v>113</v>
      </c>
      <c r="BE38" s="22"/>
      <c r="BF38" s="22"/>
      <c r="BG38" s="22" t="s">
        <v>218</v>
      </c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50" t="n">
        <v>3</v>
      </c>
      <c r="CA38" s="50"/>
      <c r="CB38" s="50"/>
      <c r="CC38" s="50"/>
      <c r="CD38" s="50"/>
      <c r="CE38" s="50"/>
      <c r="CF38" s="50"/>
      <c r="CG38" s="50"/>
    </row>
    <row r="39" customFormat="false" ht="15" hidden="false" customHeight="true" outlineLevel="0" collapsed="false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50"/>
      <c r="CA39" s="50"/>
      <c r="CB39" s="50"/>
      <c r="CC39" s="50"/>
      <c r="CD39" s="50"/>
      <c r="CE39" s="50"/>
      <c r="CF39" s="50"/>
      <c r="CG39" s="50"/>
    </row>
    <row r="40" customFormat="false" ht="28.5" hidden="false" customHeight="true" outlineLevel="0" collapsed="false">
      <c r="A40" s="17"/>
      <c r="B40" s="17"/>
      <c r="C40" s="17"/>
      <c r="D40" s="17"/>
      <c r="E40" s="17"/>
      <c r="F40" s="17"/>
      <c r="G40" s="51" t="s">
        <v>15</v>
      </c>
      <c r="H40" s="51"/>
      <c r="I40" s="51"/>
      <c r="J40" s="51"/>
      <c r="K40" s="26" t="s">
        <v>219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37" t="s">
        <v>66</v>
      </c>
      <c r="AP40" s="37" t="s">
        <v>18</v>
      </c>
      <c r="AQ40" s="21" t="s">
        <v>87</v>
      </c>
      <c r="AR40" s="21"/>
      <c r="AS40" s="21"/>
      <c r="AT40" s="21"/>
      <c r="AU40" s="21" t="s">
        <v>219</v>
      </c>
      <c r="AV40" s="21"/>
      <c r="AW40" s="21"/>
      <c r="AX40" s="21"/>
      <c r="AY40" s="21"/>
      <c r="AZ40" s="21"/>
      <c r="BA40" s="21"/>
      <c r="BB40" s="21"/>
      <c r="BC40" s="21"/>
      <c r="BD40" s="22" t="s">
        <v>118</v>
      </c>
      <c r="BE40" s="22"/>
      <c r="BF40" s="22"/>
      <c r="BG40" s="23" t="s">
        <v>219</v>
      </c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19"/>
      <c r="BV40" s="19"/>
      <c r="BW40" s="19"/>
      <c r="BX40" s="19"/>
      <c r="BY40" s="19"/>
      <c r="BZ40" s="24" t="n">
        <v>4</v>
      </c>
      <c r="CA40" s="24"/>
      <c r="CB40" s="24"/>
      <c r="CC40" s="24"/>
      <c r="CD40" s="24"/>
      <c r="CE40" s="24"/>
      <c r="CF40" s="24"/>
      <c r="CG40" s="24"/>
      <c r="CN40" s="53"/>
      <c r="CO40" s="53"/>
      <c r="CP40" s="53"/>
      <c r="CQ40" s="53"/>
      <c r="CR40" s="53"/>
      <c r="CS40" s="53"/>
      <c r="CT40" s="53"/>
      <c r="CU40" s="53"/>
      <c r="CV40" s="53"/>
      <c r="CW40" s="53"/>
      <c r="CX40" s="53"/>
      <c r="CY40" s="53"/>
      <c r="CZ40" s="53"/>
      <c r="DA40" s="53"/>
      <c r="DB40" s="53"/>
    </row>
    <row r="41" customFormat="false" ht="15" hidden="false" customHeight="true" outlineLevel="0" collapsed="false">
      <c r="A41" s="18"/>
      <c r="B41" s="18"/>
      <c r="C41" s="18"/>
      <c r="D41" s="18"/>
      <c r="E41" s="18"/>
      <c r="F41" s="18"/>
      <c r="G41" s="18" t="s">
        <v>15</v>
      </c>
      <c r="H41" s="18"/>
      <c r="I41" s="18"/>
      <c r="J41" s="18"/>
      <c r="K41" s="42" t="s">
        <v>220</v>
      </c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21" t="s">
        <v>66</v>
      </c>
      <c r="AP41" s="21" t="s">
        <v>18</v>
      </c>
      <c r="AQ41" s="21" t="s">
        <v>87</v>
      </c>
      <c r="AR41" s="21"/>
      <c r="AS41" s="21"/>
      <c r="AT41" s="21"/>
      <c r="AU41" s="21" t="s">
        <v>220</v>
      </c>
      <c r="AV41" s="21"/>
      <c r="AW41" s="21"/>
      <c r="AX41" s="21"/>
      <c r="AY41" s="21"/>
      <c r="AZ41" s="21"/>
      <c r="BA41" s="21"/>
      <c r="BB41" s="21"/>
      <c r="BC41" s="21"/>
      <c r="BD41" s="22" t="s">
        <v>121</v>
      </c>
      <c r="BE41" s="22"/>
      <c r="BF41" s="22"/>
      <c r="BG41" s="23" t="s">
        <v>220</v>
      </c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32" t="n">
        <v>5</v>
      </c>
      <c r="CA41" s="32"/>
      <c r="CB41" s="32"/>
      <c r="CC41" s="32"/>
      <c r="CD41" s="32"/>
      <c r="CE41" s="32"/>
      <c r="CF41" s="32"/>
      <c r="CG41" s="32"/>
    </row>
    <row r="42" customFormat="false" ht="15" hidden="false" customHeight="true" outlineLevel="0" collapsed="false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2"/>
      <c r="BE42" s="22"/>
      <c r="BF42" s="22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32"/>
      <c r="CA42" s="32"/>
      <c r="CB42" s="32"/>
      <c r="CC42" s="32"/>
      <c r="CD42" s="32"/>
      <c r="CE42" s="32"/>
      <c r="CF42" s="32"/>
      <c r="CG42" s="32"/>
    </row>
    <row r="43" s="29" customFormat="true" ht="20.25" hidden="false" customHeight="true" outlineLevel="0" collapsed="false">
      <c r="A43" s="28" t="s">
        <v>136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  <c r="BN43" s="28"/>
      <c r="BO43" s="28"/>
      <c r="BP43" s="28"/>
      <c r="BQ43" s="28"/>
      <c r="BR43" s="28"/>
      <c r="BS43" s="28"/>
      <c r="BT43" s="28"/>
      <c r="BU43" s="28"/>
      <c r="BV43" s="28"/>
      <c r="BW43" s="28"/>
      <c r="BX43" s="28"/>
      <c r="BY43" s="28"/>
      <c r="BZ43" s="28"/>
      <c r="CA43" s="28"/>
      <c r="CB43" s="28"/>
      <c r="CC43" s="28"/>
      <c r="CD43" s="28"/>
      <c r="CE43" s="28"/>
      <c r="CF43" s="28"/>
      <c r="CG43" s="28"/>
    </row>
    <row r="44" customFormat="false" ht="15" hidden="false" customHeight="true" outlineLevel="0" collapsed="false">
      <c r="A44" s="18" t="s">
        <v>137</v>
      </c>
      <c r="B44" s="18"/>
      <c r="C44" s="18"/>
      <c r="D44" s="18"/>
      <c r="E44" s="18"/>
      <c r="F44" s="18"/>
      <c r="G44" s="18" t="s">
        <v>15</v>
      </c>
      <c r="H44" s="18"/>
      <c r="I44" s="18"/>
      <c r="J44" s="18"/>
      <c r="K44" s="42" t="s">
        <v>138</v>
      </c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21" t="s">
        <v>66</v>
      </c>
      <c r="AP44" s="21" t="s">
        <v>18</v>
      </c>
      <c r="AQ44" s="21" t="s">
        <v>87</v>
      </c>
      <c r="AR44" s="21"/>
      <c r="AS44" s="21"/>
      <c r="AT44" s="21"/>
      <c r="AU44" s="21" t="s">
        <v>139</v>
      </c>
      <c r="AV44" s="21"/>
      <c r="AW44" s="21"/>
      <c r="AX44" s="21"/>
      <c r="AY44" s="21"/>
      <c r="AZ44" s="21"/>
      <c r="BA44" s="21"/>
      <c r="BB44" s="21"/>
      <c r="BC44" s="21"/>
      <c r="BD44" s="22" t="s">
        <v>140</v>
      </c>
      <c r="BE44" s="22"/>
      <c r="BF44" s="22"/>
      <c r="BG44" s="23" t="str">
        <f aca="false">IFERROR(VLOOKUP(BD44,Lookups111!A$4:B$38,2,FALSE()),"")</f>
        <v>Rəsmi iş yeri və pensiya yoxdur</v>
      </c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54"/>
      <c r="BV44" s="54"/>
      <c r="BW44" s="54"/>
      <c r="BX44" s="54"/>
      <c r="BY44" s="54"/>
      <c r="BZ44" s="32" t="n">
        <v>1</v>
      </c>
      <c r="CA44" s="32"/>
      <c r="CB44" s="32"/>
      <c r="CC44" s="32"/>
      <c r="CD44" s="32"/>
      <c r="CE44" s="32"/>
      <c r="CF44" s="32"/>
      <c r="CG44" s="32"/>
    </row>
    <row r="45" customFormat="false" ht="15" hidden="false" customHeight="true" outlineLevel="0" collapsed="false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2"/>
      <c r="BE45" s="22"/>
      <c r="BF45" s="22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54"/>
      <c r="BV45" s="54"/>
      <c r="BW45" s="54"/>
      <c r="BX45" s="54"/>
      <c r="BY45" s="54"/>
      <c r="BZ45" s="32"/>
      <c r="CA45" s="32"/>
      <c r="CB45" s="32"/>
      <c r="CC45" s="32"/>
      <c r="CD45" s="32"/>
      <c r="CE45" s="32"/>
      <c r="CF45" s="32"/>
      <c r="CG45" s="32"/>
    </row>
    <row r="46" customFormat="false" ht="15" hidden="false" customHeight="true" outlineLevel="0" collapsed="false">
      <c r="A46" s="18" t="s">
        <v>141</v>
      </c>
      <c r="B46" s="18"/>
      <c r="C46" s="18"/>
      <c r="D46" s="18"/>
      <c r="E46" s="18"/>
      <c r="F46" s="18"/>
      <c r="G46" s="18" t="s">
        <v>15</v>
      </c>
      <c r="H46" s="18"/>
      <c r="I46" s="18"/>
      <c r="J46" s="18"/>
      <c r="K46" s="42" t="s">
        <v>142</v>
      </c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 t="s">
        <v>143</v>
      </c>
      <c r="AA46" s="42"/>
      <c r="AB46" s="42"/>
      <c r="AC46" s="42"/>
      <c r="AD46" s="42"/>
      <c r="AE46" s="42"/>
      <c r="AF46" s="42"/>
      <c r="AG46" s="42"/>
      <c r="AH46" s="42"/>
      <c r="AI46" s="43" t="n">
        <v>6</v>
      </c>
      <c r="AJ46" s="43"/>
      <c r="AK46" s="43"/>
      <c r="AL46" s="43"/>
      <c r="AM46" s="43"/>
      <c r="AN46" s="43"/>
      <c r="AO46" s="21" t="s">
        <v>66</v>
      </c>
      <c r="AP46" s="21" t="s">
        <v>18</v>
      </c>
      <c r="AQ46" s="21" t="s">
        <v>87</v>
      </c>
      <c r="AR46" s="21"/>
      <c r="AS46" s="21"/>
      <c r="AT46" s="21"/>
      <c r="AU46" s="21" t="s">
        <v>144</v>
      </c>
      <c r="AV46" s="21"/>
      <c r="AW46" s="21"/>
      <c r="AX46" s="21"/>
      <c r="AY46" s="21"/>
      <c r="AZ46" s="21"/>
      <c r="BA46" s="21"/>
      <c r="BB46" s="21"/>
      <c r="BC46" s="21"/>
      <c r="BD46" s="22" t="s">
        <v>145</v>
      </c>
      <c r="BE46" s="22"/>
      <c r="BF46" s="22"/>
      <c r="BG46" s="23" t="str">
        <f aca="false">IFERROR(VLOOKUP(BD46,Lookups111!A$4:B$38,2,FALSE()),"")</f>
        <v>Cari iş stajı &lt; 6 ay</v>
      </c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54"/>
      <c r="BV46" s="54"/>
      <c r="BW46" s="54"/>
      <c r="BX46" s="54"/>
      <c r="BY46" s="54"/>
      <c r="BZ46" s="32" t="n">
        <v>2</v>
      </c>
      <c r="CA46" s="32"/>
      <c r="CB46" s="32"/>
      <c r="CC46" s="32"/>
      <c r="CD46" s="32"/>
      <c r="CE46" s="32"/>
      <c r="CF46" s="32"/>
      <c r="CG46" s="32"/>
    </row>
    <row r="47" customFormat="false" ht="15" hidden="false" customHeight="true" outlineLevel="0" collapsed="false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3"/>
      <c r="AJ47" s="43"/>
      <c r="AK47" s="43"/>
      <c r="AL47" s="43"/>
      <c r="AM47" s="43"/>
      <c r="AN47" s="43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2"/>
      <c r="BE47" s="22"/>
      <c r="BF47" s="22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54"/>
      <c r="BV47" s="54"/>
      <c r="BW47" s="54"/>
      <c r="BX47" s="54"/>
      <c r="BY47" s="54"/>
      <c r="BZ47" s="32"/>
      <c r="CA47" s="32"/>
      <c r="CB47" s="32"/>
      <c r="CC47" s="32"/>
      <c r="CD47" s="32"/>
      <c r="CE47" s="32"/>
      <c r="CF47" s="32"/>
      <c r="CG47" s="32"/>
    </row>
    <row r="48" customFormat="false" ht="20.25" hidden="true" customHeight="true" outlineLevel="0" collapsed="false">
      <c r="A48" s="36" t="s">
        <v>178</v>
      </c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  <c r="BC48" s="36"/>
      <c r="BD48" s="36"/>
      <c r="BE48" s="36"/>
      <c r="BF48" s="36"/>
      <c r="BG48" s="36"/>
      <c r="BH48" s="36"/>
      <c r="BI48" s="36"/>
      <c r="BJ48" s="36"/>
      <c r="BK48" s="36"/>
      <c r="BL48" s="36"/>
      <c r="BM48" s="36"/>
      <c r="BN48" s="36"/>
      <c r="BO48" s="36"/>
      <c r="BP48" s="36"/>
      <c r="BQ48" s="36"/>
      <c r="BR48" s="36"/>
      <c r="BS48" s="36"/>
      <c r="BT48" s="36"/>
      <c r="BU48" s="36"/>
      <c r="BV48" s="36"/>
      <c r="BW48" s="36"/>
      <c r="BX48" s="36"/>
      <c r="BY48" s="36"/>
      <c r="BZ48" s="36"/>
      <c r="CA48" s="36"/>
      <c r="CB48" s="36"/>
      <c r="CC48" s="36"/>
      <c r="CD48" s="36"/>
      <c r="CE48" s="36"/>
      <c r="CF48" s="36"/>
      <c r="CG48" s="36"/>
    </row>
    <row r="49" customFormat="false" ht="15" hidden="true" customHeight="true" outlineLevel="0" collapsed="false">
      <c r="A49" s="17" t="s">
        <v>179</v>
      </c>
      <c r="B49" s="17"/>
      <c r="C49" s="17"/>
      <c r="D49" s="17"/>
      <c r="E49" s="17"/>
      <c r="F49" s="17"/>
      <c r="G49" s="18" t="s">
        <v>15</v>
      </c>
      <c r="H49" s="18"/>
      <c r="I49" s="18"/>
      <c r="J49" s="18"/>
      <c r="K49" s="26" t="s">
        <v>180</v>
      </c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42" t="s">
        <v>181</v>
      </c>
      <c r="AA49" s="42"/>
      <c r="AB49" s="42"/>
      <c r="AC49" s="42"/>
      <c r="AD49" s="42"/>
      <c r="AE49" s="42"/>
      <c r="AF49" s="42"/>
      <c r="AG49" s="42"/>
      <c r="AH49" s="42"/>
      <c r="AI49" s="31" t="s">
        <v>17</v>
      </c>
      <c r="AJ49" s="31"/>
      <c r="AK49" s="31"/>
      <c r="AL49" s="31"/>
      <c r="AM49" s="31"/>
      <c r="AN49" s="31"/>
      <c r="AO49" s="42" t="s">
        <v>182</v>
      </c>
      <c r="AP49" s="42"/>
      <c r="AQ49" s="42"/>
      <c r="AR49" s="42"/>
      <c r="AS49" s="42"/>
      <c r="AT49" s="42"/>
      <c r="AU49" s="42"/>
      <c r="AV49" s="42"/>
      <c r="AW49" s="58" t="s">
        <v>75</v>
      </c>
      <c r="AX49" s="58"/>
      <c r="AY49" s="58"/>
      <c r="AZ49" s="58"/>
      <c r="BA49" s="58"/>
      <c r="BB49" s="58"/>
      <c r="BC49" s="58"/>
      <c r="BD49" s="22" t="s">
        <v>183</v>
      </c>
      <c r="BE49" s="22"/>
      <c r="BF49" s="22"/>
      <c r="BG49" s="23" t="str">
        <f aca="false">IFERROR(VLOOKUP('PayDay WCL'!BD49,Lookups111!A$4:B$38,2,FALSE()),"")</f>
        <v>Skorinq nəticəsinə görə rədd edildi</v>
      </c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19"/>
      <c r="BV49" s="19"/>
      <c r="BW49" s="19"/>
      <c r="BX49" s="19"/>
      <c r="BY49" s="19"/>
      <c r="BZ49" s="24" t="n">
        <v>1</v>
      </c>
      <c r="CA49" s="24"/>
      <c r="CB49" s="24"/>
      <c r="CC49" s="24"/>
      <c r="CD49" s="24"/>
      <c r="CE49" s="24"/>
      <c r="CF49" s="24"/>
      <c r="CG49" s="24"/>
    </row>
    <row r="50" customFormat="false" ht="15" hidden="false" customHeight="true" outlineLevel="0" collapsed="false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1"/>
      <c r="AA50" s="61"/>
      <c r="AB50" s="61"/>
      <c r="AC50" s="61"/>
      <c r="AD50" s="61"/>
      <c r="AE50" s="61"/>
      <c r="AF50" s="61"/>
      <c r="AG50" s="61"/>
      <c r="AH50" s="61"/>
      <c r="AI50" s="61"/>
      <c r="AJ50" s="61"/>
      <c r="AK50" s="61"/>
      <c r="AL50" s="61"/>
      <c r="AM50" s="61"/>
      <c r="AN50" s="61"/>
      <c r="AO50" s="61"/>
      <c r="AP50" s="61"/>
      <c r="AQ50" s="61"/>
      <c r="AR50" s="61"/>
      <c r="AS50" s="61"/>
      <c r="AT50" s="61"/>
      <c r="AU50" s="61"/>
      <c r="AV50" s="61"/>
      <c r="AW50" s="61"/>
      <c r="AX50" s="61"/>
      <c r="AY50" s="61"/>
      <c r="AZ50" s="61"/>
      <c r="BA50" s="61"/>
      <c r="BB50" s="61"/>
      <c r="BC50" s="61"/>
      <c r="BD50" s="61"/>
      <c r="BE50" s="61"/>
      <c r="BF50" s="61"/>
      <c r="BG50" s="61"/>
      <c r="BH50" s="61"/>
      <c r="BI50" s="61"/>
      <c r="BJ50" s="61"/>
      <c r="BK50" s="61"/>
      <c r="BL50" s="61"/>
      <c r="BM50" s="61"/>
      <c r="BN50" s="61"/>
      <c r="BO50" s="61"/>
      <c r="BP50" s="61"/>
      <c r="BQ50" s="61"/>
      <c r="BR50" s="61"/>
      <c r="BS50" s="61"/>
      <c r="BT50" s="61"/>
      <c r="BU50" s="61"/>
      <c r="BV50" s="61"/>
      <c r="BW50" s="61"/>
      <c r="BX50" s="61"/>
      <c r="BY50" s="61"/>
    </row>
    <row r="51" customFormat="false" ht="15" hidden="false" customHeight="true" outlineLevel="0" collapsed="false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  <c r="AL51" s="61"/>
      <c r="AM51" s="61"/>
      <c r="AN51" s="61"/>
      <c r="AO51" s="61"/>
      <c r="AP51" s="61"/>
      <c r="AQ51" s="61"/>
      <c r="AR51" s="61"/>
      <c r="AS51" s="61"/>
      <c r="AT51" s="61"/>
      <c r="AU51" s="61"/>
      <c r="AV51" s="61"/>
      <c r="AW51" s="61"/>
      <c r="AX51" s="61"/>
      <c r="AY51" s="61"/>
      <c r="AZ51" s="61"/>
      <c r="BA51" s="61"/>
      <c r="BB51" s="61"/>
      <c r="BC51" s="61"/>
      <c r="BD51" s="61"/>
      <c r="BE51" s="61"/>
      <c r="BF51" s="61"/>
      <c r="BG51" s="61"/>
      <c r="BH51" s="61"/>
      <c r="BI51" s="61"/>
      <c r="BJ51" s="61"/>
      <c r="BK51" s="61"/>
      <c r="BL51" s="61"/>
      <c r="BM51" s="61"/>
      <c r="BN51" s="61"/>
      <c r="BO51" s="61"/>
      <c r="BP51" s="61"/>
      <c r="BQ51" s="61"/>
      <c r="BR51" s="61"/>
      <c r="BS51" s="61"/>
      <c r="BT51" s="61"/>
      <c r="BU51" s="61"/>
      <c r="BV51" s="61"/>
      <c r="BW51" s="61"/>
      <c r="BX51" s="61"/>
      <c r="BY51" s="61"/>
    </row>
    <row r="52" customFormat="false" ht="15" hidden="false" customHeight="true" outlineLevel="0" collapsed="false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1"/>
      <c r="AA52" s="61"/>
      <c r="AB52" s="61"/>
      <c r="AC52" s="61"/>
      <c r="AD52" s="61"/>
      <c r="AE52" s="61"/>
      <c r="AF52" s="61"/>
      <c r="AG52" s="61"/>
      <c r="AH52" s="61"/>
      <c r="AI52" s="61"/>
      <c r="AJ52" s="61"/>
      <c r="AK52" s="61"/>
      <c r="AL52" s="61"/>
      <c r="AM52" s="61"/>
      <c r="AN52" s="61"/>
      <c r="AO52" s="61"/>
      <c r="AP52" s="61"/>
      <c r="AQ52" s="61"/>
      <c r="AR52" s="61"/>
      <c r="AS52" s="61"/>
      <c r="AT52" s="61"/>
      <c r="AU52" s="61"/>
      <c r="AV52" s="61"/>
      <c r="AW52" s="61"/>
      <c r="AX52" s="61"/>
      <c r="AY52" s="61"/>
      <c r="AZ52" s="61"/>
      <c r="BA52" s="61"/>
      <c r="BB52" s="61"/>
      <c r="BC52" s="61"/>
      <c r="BD52" s="61"/>
      <c r="BE52" s="61"/>
      <c r="BF52" s="61"/>
      <c r="BG52" s="61"/>
      <c r="BH52" s="61"/>
      <c r="BI52" s="61"/>
      <c r="BJ52" s="61"/>
      <c r="BK52" s="61"/>
      <c r="BL52" s="61"/>
      <c r="BM52" s="61"/>
      <c r="BN52" s="61"/>
      <c r="BO52" s="61"/>
      <c r="BP52" s="61"/>
      <c r="BQ52" s="61"/>
      <c r="BR52" s="61"/>
      <c r="BS52" s="61"/>
      <c r="BT52" s="61"/>
      <c r="BU52" s="61"/>
      <c r="BV52" s="61"/>
      <c r="BW52" s="61"/>
      <c r="BX52" s="61"/>
      <c r="BY52" s="61"/>
    </row>
    <row r="53" customFormat="false" ht="15" hidden="false" customHeight="true" outlineLevel="0" collapsed="false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1"/>
      <c r="AA53" s="61"/>
      <c r="AB53" s="61"/>
      <c r="AC53" s="61"/>
      <c r="AD53" s="61"/>
      <c r="AE53" s="61"/>
      <c r="AF53" s="61"/>
      <c r="AG53" s="61"/>
      <c r="AH53" s="61"/>
      <c r="AI53" s="61"/>
      <c r="AJ53" s="61"/>
      <c r="AK53" s="61"/>
      <c r="AL53" s="61"/>
      <c r="AM53" s="61"/>
      <c r="AN53" s="61"/>
      <c r="AO53" s="61"/>
      <c r="AP53" s="61"/>
      <c r="AQ53" s="61"/>
      <c r="AR53" s="61"/>
      <c r="AS53" s="61"/>
      <c r="AT53" s="61"/>
      <c r="AU53" s="61"/>
      <c r="AV53" s="61"/>
      <c r="AW53" s="61"/>
      <c r="AX53" s="61"/>
      <c r="AY53" s="61"/>
      <c r="AZ53" s="61"/>
      <c r="BA53" s="61"/>
      <c r="BB53" s="61"/>
      <c r="BC53" s="61"/>
      <c r="BD53" s="61"/>
      <c r="BE53" s="61"/>
      <c r="BF53" s="61"/>
      <c r="BG53" s="61"/>
      <c r="BH53" s="61"/>
      <c r="BI53" s="61"/>
      <c r="BJ53" s="61"/>
      <c r="BK53" s="61"/>
      <c r="BL53" s="61"/>
      <c r="BM53" s="61"/>
      <c r="BN53" s="61"/>
      <c r="BO53" s="61"/>
      <c r="BP53" s="61"/>
      <c r="BQ53" s="61"/>
      <c r="BR53" s="61"/>
      <c r="BS53" s="61"/>
      <c r="BT53" s="61"/>
      <c r="BU53" s="61"/>
      <c r="BV53" s="61"/>
      <c r="BW53" s="61"/>
      <c r="BX53" s="61"/>
      <c r="BY53" s="61"/>
    </row>
    <row r="54" customFormat="false" ht="15" hidden="false" customHeight="true" outlineLevel="0" collapsed="false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1"/>
      <c r="AX54" s="61"/>
      <c r="AY54" s="61"/>
      <c r="AZ54" s="61"/>
      <c r="BA54" s="61"/>
      <c r="BB54" s="61"/>
      <c r="BC54" s="61"/>
      <c r="BD54" s="61"/>
      <c r="BE54" s="61"/>
      <c r="BF54" s="61"/>
      <c r="BG54" s="61"/>
      <c r="BH54" s="61"/>
      <c r="BI54" s="61"/>
      <c r="BJ54" s="61"/>
      <c r="BK54" s="61"/>
      <c r="BL54" s="61"/>
      <c r="BM54" s="61"/>
      <c r="BN54" s="61"/>
      <c r="BO54" s="61"/>
      <c r="BP54" s="61"/>
      <c r="BQ54" s="61"/>
      <c r="BR54" s="61"/>
      <c r="BS54" s="61"/>
      <c r="BT54" s="61"/>
      <c r="BU54" s="61"/>
      <c r="BV54" s="61"/>
      <c r="BW54" s="61"/>
      <c r="BX54" s="61"/>
      <c r="BY54" s="61"/>
    </row>
    <row r="55" customFormat="false" ht="15" hidden="false" customHeight="true" outlineLevel="0" collapsed="false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61"/>
      <c r="AW55" s="61"/>
      <c r="AX55" s="61"/>
      <c r="AY55" s="61"/>
      <c r="AZ55" s="61"/>
      <c r="BA55" s="61"/>
      <c r="BB55" s="61"/>
      <c r="BC55" s="61"/>
      <c r="BD55" s="61"/>
      <c r="BE55" s="61"/>
      <c r="BF55" s="61"/>
      <c r="BG55" s="61"/>
      <c r="BH55" s="61"/>
      <c r="BI55" s="61"/>
      <c r="BJ55" s="61"/>
      <c r="BK55" s="61"/>
      <c r="BL55" s="61"/>
      <c r="BM55" s="61"/>
      <c r="BN55" s="61"/>
      <c r="BO55" s="61"/>
      <c r="BP55" s="61"/>
      <c r="BQ55" s="61"/>
      <c r="BR55" s="61"/>
      <c r="BS55" s="61"/>
      <c r="BT55" s="61"/>
      <c r="BU55" s="61"/>
      <c r="BV55" s="61"/>
      <c r="BW55" s="61"/>
      <c r="BX55" s="61"/>
      <c r="BY55" s="61"/>
    </row>
    <row r="56" customFormat="false" ht="15" hidden="false" customHeight="true" outlineLevel="0" collapsed="false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61"/>
      <c r="AK56" s="61"/>
      <c r="AL56" s="61"/>
      <c r="AM56" s="61"/>
      <c r="AN56" s="61"/>
      <c r="AO56" s="61"/>
      <c r="AP56" s="61"/>
      <c r="AQ56" s="61"/>
      <c r="AR56" s="61"/>
      <c r="AS56" s="61"/>
      <c r="AT56" s="61"/>
      <c r="AU56" s="61"/>
      <c r="AV56" s="61"/>
      <c r="AW56" s="61"/>
      <c r="AX56" s="61"/>
      <c r="AY56" s="61"/>
      <c r="AZ56" s="61"/>
      <c r="BA56" s="61"/>
      <c r="BB56" s="61"/>
      <c r="BC56" s="61"/>
      <c r="BD56" s="61"/>
      <c r="BE56" s="61"/>
      <c r="BF56" s="61"/>
      <c r="BG56" s="61"/>
      <c r="BH56" s="61"/>
      <c r="BI56" s="61"/>
      <c r="BJ56" s="61"/>
      <c r="BK56" s="61"/>
      <c r="BL56" s="61"/>
      <c r="BM56" s="61"/>
      <c r="BN56" s="61"/>
      <c r="BO56" s="61"/>
      <c r="BP56" s="61"/>
      <c r="BQ56" s="61"/>
      <c r="BR56" s="61"/>
      <c r="BS56" s="61"/>
      <c r="BT56" s="61"/>
      <c r="BU56" s="61"/>
      <c r="BV56" s="61"/>
      <c r="BW56" s="61"/>
      <c r="BX56" s="61"/>
      <c r="BY56" s="61"/>
    </row>
    <row r="57" customFormat="false" ht="15" hidden="false" customHeight="true" outlineLevel="0" collapsed="false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61"/>
      <c r="AZ57" s="61"/>
      <c r="BA57" s="61"/>
      <c r="BB57" s="61"/>
      <c r="BC57" s="61"/>
      <c r="BD57" s="61"/>
      <c r="BE57" s="61"/>
      <c r="BF57" s="61"/>
      <c r="BG57" s="61"/>
      <c r="BH57" s="61"/>
      <c r="BI57" s="61"/>
      <c r="BJ57" s="61"/>
      <c r="BK57" s="61"/>
      <c r="BL57" s="61"/>
      <c r="BM57" s="61"/>
      <c r="BN57" s="61"/>
      <c r="BO57" s="61"/>
      <c r="BP57" s="61"/>
      <c r="BQ57" s="61"/>
      <c r="BR57" s="61"/>
      <c r="BS57" s="61"/>
      <c r="BT57" s="61"/>
      <c r="BU57" s="61"/>
      <c r="BV57" s="61"/>
      <c r="BW57" s="61"/>
      <c r="BX57" s="61"/>
      <c r="BY57" s="61"/>
    </row>
    <row r="58" customFormat="false" ht="15" hidden="false" customHeight="true" outlineLevel="0" collapsed="false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1"/>
      <c r="AA58" s="61"/>
      <c r="AB58" s="61"/>
      <c r="AC58" s="61"/>
      <c r="AD58" s="61"/>
      <c r="AE58" s="61"/>
      <c r="AF58" s="61"/>
      <c r="AG58" s="61"/>
      <c r="AH58" s="61"/>
      <c r="AI58" s="61"/>
      <c r="AJ58" s="61"/>
      <c r="AK58" s="61"/>
      <c r="AL58" s="61"/>
      <c r="AM58" s="61"/>
      <c r="AN58" s="61"/>
      <c r="AO58" s="61"/>
      <c r="AP58" s="61"/>
      <c r="AQ58" s="61"/>
      <c r="AR58" s="61"/>
      <c r="AS58" s="61"/>
      <c r="AT58" s="61"/>
      <c r="AU58" s="61"/>
      <c r="AV58" s="61"/>
      <c r="AW58" s="61"/>
      <c r="AX58" s="61"/>
      <c r="AY58" s="61"/>
      <c r="AZ58" s="61"/>
      <c r="BA58" s="61"/>
      <c r="BB58" s="61"/>
      <c r="BC58" s="61"/>
      <c r="BD58" s="61"/>
      <c r="BE58" s="61"/>
      <c r="BF58" s="61"/>
      <c r="BG58" s="61"/>
      <c r="BH58" s="61"/>
      <c r="BI58" s="61"/>
      <c r="BJ58" s="61"/>
      <c r="BK58" s="61"/>
      <c r="BL58" s="61"/>
      <c r="BM58" s="61"/>
      <c r="BN58" s="61"/>
      <c r="BO58" s="61"/>
      <c r="BP58" s="61"/>
      <c r="BQ58" s="61"/>
      <c r="BR58" s="61"/>
      <c r="BS58" s="61"/>
      <c r="BT58" s="61"/>
      <c r="BU58" s="61"/>
      <c r="BV58" s="61"/>
      <c r="BW58" s="61"/>
      <c r="BX58" s="61"/>
      <c r="BY58" s="61"/>
    </row>
    <row r="59" customFormat="false" ht="15" hidden="false" customHeight="true" outlineLevel="0" collapsed="false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1"/>
      <c r="AA59" s="61"/>
      <c r="AB59" s="61"/>
      <c r="AC59" s="61"/>
      <c r="AD59" s="61"/>
      <c r="AE59" s="61"/>
      <c r="AF59" s="61"/>
      <c r="AG59" s="61"/>
      <c r="AH59" s="61"/>
      <c r="AI59" s="61"/>
      <c r="AJ59" s="61"/>
      <c r="AK59" s="61"/>
      <c r="AL59" s="61"/>
      <c r="AM59" s="61"/>
      <c r="AN59" s="61"/>
      <c r="AO59" s="61"/>
      <c r="AP59" s="61"/>
      <c r="AQ59" s="61"/>
      <c r="AR59" s="61"/>
      <c r="AS59" s="61"/>
      <c r="AT59" s="61"/>
      <c r="AU59" s="61"/>
      <c r="AV59" s="61"/>
      <c r="AW59" s="61"/>
      <c r="AX59" s="61"/>
      <c r="AY59" s="61"/>
      <c r="AZ59" s="61"/>
      <c r="BA59" s="61"/>
      <c r="BB59" s="61"/>
      <c r="BC59" s="61"/>
      <c r="BD59" s="61"/>
      <c r="BE59" s="61"/>
      <c r="BF59" s="61"/>
      <c r="BG59" s="61"/>
      <c r="BH59" s="61"/>
      <c r="BI59" s="61"/>
      <c r="BJ59" s="61"/>
      <c r="BK59" s="61"/>
      <c r="BL59" s="61"/>
      <c r="BM59" s="61"/>
      <c r="BN59" s="61"/>
      <c r="BO59" s="61"/>
      <c r="BP59" s="61"/>
      <c r="BQ59" s="61"/>
      <c r="BR59" s="61"/>
      <c r="BS59" s="61"/>
      <c r="BT59" s="61"/>
      <c r="BU59" s="61"/>
      <c r="BV59" s="61"/>
      <c r="BW59" s="61"/>
      <c r="BX59" s="61"/>
      <c r="BY59" s="61"/>
    </row>
    <row r="60" customFormat="false" ht="15" hidden="false" customHeight="true" outlineLevel="0" collapsed="false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1"/>
      <c r="AP60" s="61"/>
      <c r="AQ60" s="61"/>
      <c r="AR60" s="61"/>
      <c r="AS60" s="61"/>
      <c r="AT60" s="61"/>
      <c r="AU60" s="61"/>
      <c r="AV60" s="61"/>
      <c r="AW60" s="61"/>
      <c r="AX60" s="61"/>
      <c r="AY60" s="61"/>
      <c r="AZ60" s="61"/>
      <c r="BA60" s="61"/>
      <c r="BB60" s="61"/>
      <c r="BC60" s="61"/>
      <c r="BD60" s="61"/>
      <c r="BE60" s="61"/>
      <c r="BF60" s="61"/>
      <c r="BG60" s="61"/>
      <c r="BH60" s="61"/>
      <c r="BI60" s="61"/>
      <c r="BJ60" s="61"/>
      <c r="BK60" s="61"/>
      <c r="BL60" s="61"/>
      <c r="BM60" s="61"/>
      <c r="BN60" s="61"/>
      <c r="BO60" s="61"/>
      <c r="BP60" s="61"/>
      <c r="BQ60" s="61"/>
      <c r="BR60" s="61"/>
      <c r="BS60" s="61"/>
      <c r="BT60" s="61"/>
      <c r="BU60" s="61"/>
      <c r="BV60" s="61"/>
      <c r="BW60" s="61"/>
      <c r="BX60" s="61"/>
      <c r="BY60" s="61"/>
    </row>
    <row r="61" customFormat="false" ht="15" hidden="false" customHeight="true" outlineLevel="0" collapsed="false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1"/>
      <c r="AA61" s="61"/>
      <c r="AB61" s="61"/>
      <c r="AC61" s="61"/>
      <c r="AD61" s="61"/>
      <c r="AE61" s="61"/>
      <c r="AF61" s="61"/>
      <c r="AG61" s="61"/>
      <c r="AH61" s="61"/>
      <c r="AI61" s="61"/>
      <c r="AJ61" s="61"/>
      <c r="AK61" s="61"/>
      <c r="AL61" s="61"/>
      <c r="AM61" s="61"/>
      <c r="AN61" s="61"/>
      <c r="AO61" s="61"/>
      <c r="AP61" s="61"/>
      <c r="AQ61" s="61"/>
      <c r="AR61" s="61"/>
      <c r="AS61" s="61"/>
      <c r="AT61" s="61"/>
      <c r="AU61" s="61"/>
      <c r="AV61" s="61"/>
      <c r="AW61" s="61"/>
      <c r="AX61" s="61"/>
      <c r="AY61" s="61"/>
      <c r="AZ61" s="61"/>
      <c r="BA61" s="61"/>
      <c r="BB61" s="61"/>
      <c r="BC61" s="61"/>
      <c r="BD61" s="61"/>
      <c r="BE61" s="61"/>
      <c r="BF61" s="61"/>
      <c r="BG61" s="61"/>
      <c r="BH61" s="61"/>
      <c r="BI61" s="61"/>
      <c r="BJ61" s="61"/>
      <c r="BK61" s="61"/>
      <c r="BL61" s="61"/>
      <c r="BM61" s="61"/>
      <c r="BN61" s="61"/>
      <c r="BO61" s="61"/>
      <c r="BP61" s="61"/>
      <c r="BQ61" s="61"/>
      <c r="BR61" s="61"/>
      <c r="BS61" s="61"/>
      <c r="BT61" s="61"/>
      <c r="BU61" s="61"/>
      <c r="BV61" s="61"/>
      <c r="BW61" s="61"/>
      <c r="BX61" s="61"/>
      <c r="BY61" s="61"/>
    </row>
    <row r="62" customFormat="false" ht="15" hidden="false" customHeight="true" outlineLevel="0" collapsed="false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1"/>
      <c r="AA62" s="61"/>
      <c r="AB62" s="61"/>
      <c r="AC62" s="61"/>
      <c r="AD62" s="61"/>
      <c r="AE62" s="61"/>
      <c r="AF62" s="61"/>
      <c r="AG62" s="61"/>
      <c r="AH62" s="61"/>
      <c r="AI62" s="61"/>
      <c r="AJ62" s="61"/>
      <c r="AK62" s="61"/>
      <c r="AL62" s="61"/>
      <c r="AM62" s="61"/>
      <c r="AN62" s="61"/>
      <c r="AO62" s="61"/>
      <c r="AP62" s="61"/>
      <c r="AQ62" s="61"/>
      <c r="AR62" s="61"/>
      <c r="AS62" s="61"/>
      <c r="AT62" s="61"/>
      <c r="AU62" s="61"/>
      <c r="AV62" s="61"/>
      <c r="AW62" s="61"/>
      <c r="AX62" s="61"/>
      <c r="AY62" s="61"/>
      <c r="AZ62" s="61"/>
      <c r="BA62" s="61"/>
      <c r="BB62" s="61"/>
      <c r="BC62" s="61"/>
      <c r="BD62" s="61"/>
      <c r="BE62" s="61"/>
      <c r="BF62" s="61"/>
      <c r="BG62" s="61"/>
      <c r="BH62" s="61"/>
      <c r="BI62" s="61"/>
      <c r="BJ62" s="61"/>
      <c r="BK62" s="61"/>
      <c r="BL62" s="61"/>
      <c r="BM62" s="61"/>
      <c r="BN62" s="61"/>
      <c r="BO62" s="61"/>
      <c r="BP62" s="61"/>
      <c r="BQ62" s="61"/>
      <c r="BR62" s="61"/>
      <c r="BS62" s="61"/>
      <c r="BT62" s="61"/>
      <c r="BU62" s="61"/>
      <c r="BV62" s="61"/>
      <c r="BW62" s="61"/>
      <c r="BX62" s="61"/>
      <c r="BY62" s="61"/>
    </row>
    <row r="63" customFormat="false" ht="15" hidden="false" customHeight="true" outlineLevel="0" collapsed="false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1"/>
      <c r="AA63" s="61"/>
      <c r="AB63" s="61"/>
      <c r="AC63" s="61"/>
      <c r="AD63" s="61"/>
      <c r="AE63" s="61"/>
      <c r="AF63" s="61"/>
      <c r="AG63" s="61"/>
      <c r="AH63" s="61"/>
      <c r="AI63" s="61"/>
      <c r="AJ63" s="61"/>
      <c r="AK63" s="61"/>
      <c r="AL63" s="61"/>
      <c r="AM63" s="61"/>
      <c r="AN63" s="61"/>
      <c r="AO63" s="61"/>
      <c r="AP63" s="61"/>
      <c r="AQ63" s="61"/>
      <c r="AR63" s="61"/>
      <c r="AS63" s="61"/>
      <c r="AT63" s="61"/>
      <c r="AU63" s="61"/>
      <c r="AV63" s="61"/>
      <c r="AW63" s="61"/>
      <c r="AX63" s="61"/>
      <c r="AY63" s="61"/>
      <c r="AZ63" s="61"/>
      <c r="BA63" s="61"/>
      <c r="BB63" s="61"/>
      <c r="BC63" s="61"/>
      <c r="BD63" s="61"/>
      <c r="BE63" s="61"/>
      <c r="BF63" s="61"/>
      <c r="BG63" s="61"/>
      <c r="BH63" s="61"/>
      <c r="BI63" s="61"/>
      <c r="BJ63" s="61"/>
      <c r="BK63" s="61"/>
      <c r="BL63" s="61"/>
      <c r="BM63" s="61"/>
      <c r="BN63" s="61"/>
      <c r="BO63" s="61"/>
      <c r="BP63" s="61"/>
      <c r="BQ63" s="61"/>
      <c r="BR63" s="61"/>
      <c r="BS63" s="61"/>
      <c r="BT63" s="61"/>
      <c r="BU63" s="61"/>
      <c r="BV63" s="61"/>
      <c r="BW63" s="61"/>
      <c r="BX63" s="61"/>
      <c r="BY63" s="61"/>
    </row>
    <row r="64" customFormat="false" ht="15" hidden="false" customHeight="true" outlineLevel="0" collapsed="false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1"/>
      <c r="AA64" s="61"/>
      <c r="AB64" s="61"/>
      <c r="AC64" s="61"/>
      <c r="AD64" s="61"/>
      <c r="AE64" s="61"/>
      <c r="AF64" s="61"/>
      <c r="AG64" s="61"/>
      <c r="AH64" s="61"/>
      <c r="AI64" s="61"/>
      <c r="AJ64" s="61"/>
      <c r="AK64" s="61"/>
      <c r="AL64" s="61"/>
      <c r="AM64" s="61"/>
      <c r="AN64" s="61"/>
      <c r="AO64" s="61"/>
      <c r="AP64" s="61"/>
      <c r="AQ64" s="61"/>
      <c r="AR64" s="61"/>
      <c r="AS64" s="61"/>
      <c r="AT64" s="61"/>
      <c r="AU64" s="61"/>
      <c r="AV64" s="61"/>
      <c r="AW64" s="61"/>
      <c r="AX64" s="61"/>
      <c r="AY64" s="61"/>
      <c r="AZ64" s="61"/>
      <c r="BA64" s="61"/>
      <c r="BB64" s="61"/>
      <c r="BC64" s="61"/>
      <c r="BD64" s="61"/>
      <c r="BE64" s="61"/>
      <c r="BF64" s="61"/>
      <c r="BG64" s="61"/>
      <c r="BH64" s="61"/>
      <c r="BI64" s="61"/>
      <c r="BJ64" s="61"/>
      <c r="BK64" s="61"/>
      <c r="BL64" s="61"/>
      <c r="BM64" s="61"/>
      <c r="BN64" s="61"/>
      <c r="BO64" s="61"/>
      <c r="BP64" s="61"/>
      <c r="BQ64" s="61"/>
      <c r="BR64" s="61"/>
      <c r="BS64" s="61"/>
      <c r="BT64" s="61"/>
      <c r="BU64" s="61"/>
      <c r="BV64" s="61"/>
      <c r="BW64" s="61"/>
      <c r="BX64" s="61"/>
      <c r="BY64" s="61"/>
    </row>
    <row r="65" customFormat="false" ht="15" hidden="false" customHeight="true" outlineLevel="0" collapsed="false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1"/>
      <c r="AA65" s="61"/>
      <c r="AB65" s="61"/>
      <c r="AC65" s="61"/>
      <c r="AD65" s="61"/>
      <c r="AE65" s="61"/>
      <c r="AF65" s="61"/>
      <c r="AG65" s="61"/>
      <c r="AH65" s="61"/>
      <c r="AI65" s="61"/>
      <c r="AJ65" s="61"/>
      <c r="AK65" s="61"/>
      <c r="AL65" s="61"/>
      <c r="AM65" s="61"/>
      <c r="AN65" s="61"/>
      <c r="AO65" s="61"/>
      <c r="AP65" s="61"/>
      <c r="AQ65" s="61"/>
      <c r="AR65" s="61"/>
      <c r="AS65" s="61"/>
      <c r="AT65" s="61"/>
      <c r="AU65" s="61"/>
      <c r="AV65" s="61"/>
      <c r="AW65" s="61"/>
      <c r="AX65" s="61"/>
      <c r="AY65" s="61"/>
      <c r="AZ65" s="61"/>
      <c r="BA65" s="61"/>
      <c r="BB65" s="61"/>
      <c r="BC65" s="61"/>
      <c r="BD65" s="61"/>
      <c r="BE65" s="61"/>
      <c r="BF65" s="61"/>
      <c r="BG65" s="61"/>
      <c r="BH65" s="61"/>
      <c r="BI65" s="61"/>
      <c r="BJ65" s="61"/>
      <c r="BK65" s="61"/>
      <c r="BL65" s="61"/>
      <c r="BM65" s="61"/>
      <c r="BN65" s="61"/>
      <c r="BO65" s="61"/>
      <c r="BP65" s="61"/>
      <c r="BQ65" s="61"/>
      <c r="BR65" s="61"/>
      <c r="BS65" s="61"/>
      <c r="BT65" s="61"/>
      <c r="BU65" s="61"/>
      <c r="BV65" s="61"/>
      <c r="BW65" s="61"/>
      <c r="BX65" s="61"/>
      <c r="BY65" s="61"/>
    </row>
    <row r="66" customFormat="false" ht="15" hidden="false" customHeight="true" outlineLevel="0" collapsed="false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1"/>
      <c r="AA66" s="61"/>
      <c r="AB66" s="61"/>
      <c r="AC66" s="61"/>
      <c r="AD66" s="61"/>
      <c r="AE66" s="61"/>
      <c r="AF66" s="61"/>
      <c r="AG66" s="61"/>
      <c r="AH66" s="61"/>
      <c r="AI66" s="61"/>
      <c r="AJ66" s="61"/>
      <c r="AK66" s="61"/>
      <c r="AL66" s="61"/>
      <c r="AM66" s="61"/>
      <c r="AN66" s="61"/>
      <c r="AO66" s="61"/>
      <c r="AP66" s="61"/>
      <c r="AQ66" s="61"/>
      <c r="AR66" s="61"/>
      <c r="AS66" s="61"/>
      <c r="AT66" s="61"/>
      <c r="AU66" s="61"/>
      <c r="AV66" s="61"/>
      <c r="AW66" s="61"/>
      <c r="AX66" s="61"/>
      <c r="AY66" s="61"/>
      <c r="AZ66" s="61"/>
      <c r="BA66" s="61"/>
      <c r="BB66" s="61"/>
      <c r="BC66" s="61"/>
      <c r="BD66" s="61"/>
      <c r="BE66" s="61"/>
      <c r="BF66" s="61"/>
      <c r="BG66" s="61"/>
      <c r="BH66" s="61"/>
      <c r="BI66" s="61"/>
      <c r="BJ66" s="61"/>
      <c r="BK66" s="61"/>
      <c r="BL66" s="61"/>
      <c r="BM66" s="61"/>
      <c r="BN66" s="61"/>
      <c r="BO66" s="61"/>
      <c r="BP66" s="61"/>
      <c r="BQ66" s="61"/>
      <c r="BR66" s="61"/>
      <c r="BS66" s="61"/>
      <c r="BT66" s="61"/>
      <c r="BU66" s="61"/>
      <c r="BV66" s="61"/>
      <c r="BW66" s="61"/>
      <c r="BX66" s="61"/>
      <c r="BY66" s="61"/>
    </row>
  </sheetData>
  <mergeCells count="413">
    <mergeCell ref="BD1:CG1"/>
    <mergeCell ref="A2:BC2"/>
    <mergeCell ref="BD2:CG2"/>
    <mergeCell ref="CI2:CP2"/>
    <mergeCell ref="A3:F3"/>
    <mergeCell ref="G3:J3"/>
    <mergeCell ref="K3:Y3"/>
    <mergeCell ref="Z3:AN3"/>
    <mergeCell ref="AO3:BC3"/>
    <mergeCell ref="BD3:BT3"/>
    <mergeCell ref="BU3:BY3"/>
    <mergeCell ref="BZ3:CG3"/>
    <mergeCell ref="A4:AN4"/>
    <mergeCell ref="AQ4:AT4"/>
    <mergeCell ref="AU4:BC4"/>
    <mergeCell ref="BD4:CG4"/>
    <mergeCell ref="A5:F5"/>
    <mergeCell ref="G5:J5"/>
    <mergeCell ref="K5:Y5"/>
    <mergeCell ref="Z5:AN5"/>
    <mergeCell ref="AQ5:AT5"/>
    <mergeCell ref="AU5:BC5"/>
    <mergeCell ref="BD5:BF5"/>
    <mergeCell ref="BG5:BT5"/>
    <mergeCell ref="BU5:BY5"/>
    <mergeCell ref="BZ5:CG5"/>
    <mergeCell ref="A6:F6"/>
    <mergeCell ref="G6:J6"/>
    <mergeCell ref="K6:Y6"/>
    <mergeCell ref="Z6:AN6"/>
    <mergeCell ref="AQ6:AT6"/>
    <mergeCell ref="AU6:BC6"/>
    <mergeCell ref="BD6:BF6"/>
    <mergeCell ref="BG6:BT6"/>
    <mergeCell ref="BU6:BY6"/>
    <mergeCell ref="BZ6:CG6"/>
    <mergeCell ref="A7:F7"/>
    <mergeCell ref="G7:J7"/>
    <mergeCell ref="K7:Y7"/>
    <mergeCell ref="Z7:AN7"/>
    <mergeCell ref="AQ7:AT7"/>
    <mergeCell ref="AU7:BC7"/>
    <mergeCell ref="BD7:BF7"/>
    <mergeCell ref="BG7:BT7"/>
    <mergeCell ref="BU7:BY7"/>
    <mergeCell ref="BZ7:CG7"/>
    <mergeCell ref="A8:F8"/>
    <mergeCell ref="G8:J8"/>
    <mergeCell ref="K8:Y8"/>
    <mergeCell ref="Z8:AN8"/>
    <mergeCell ref="AQ8:AT8"/>
    <mergeCell ref="AU8:BC8"/>
    <mergeCell ref="BD8:BF8"/>
    <mergeCell ref="BG8:BT8"/>
    <mergeCell ref="BU8:BY8"/>
    <mergeCell ref="BZ8:CG8"/>
    <mergeCell ref="A9:F9"/>
    <mergeCell ref="G9:J9"/>
    <mergeCell ref="K9:Y9"/>
    <mergeCell ref="Z9:AN9"/>
    <mergeCell ref="AQ9:AT9"/>
    <mergeCell ref="AU9:BC9"/>
    <mergeCell ref="BD9:BF9"/>
    <mergeCell ref="BG9:BT9"/>
    <mergeCell ref="BU9:BY9"/>
    <mergeCell ref="BZ9:CG9"/>
    <mergeCell ref="A10:F10"/>
    <mergeCell ref="G10:J10"/>
    <mergeCell ref="K10:Y10"/>
    <mergeCell ref="Z10:AN10"/>
    <mergeCell ref="AQ10:AT10"/>
    <mergeCell ref="AU10:BC10"/>
    <mergeCell ref="BD10:BF10"/>
    <mergeCell ref="BG10:BT10"/>
    <mergeCell ref="BU10:BY10"/>
    <mergeCell ref="BZ10:CG10"/>
    <mergeCell ref="A11:F11"/>
    <mergeCell ref="G11:J11"/>
    <mergeCell ref="K11:Y11"/>
    <mergeCell ref="Z11:AN11"/>
    <mergeCell ref="AQ11:AT11"/>
    <mergeCell ref="AU11:BC11"/>
    <mergeCell ref="BD11:BF11"/>
    <mergeCell ref="BG11:BT11"/>
    <mergeCell ref="BU11:BY11"/>
    <mergeCell ref="BZ11:CG11"/>
    <mergeCell ref="A12:F12"/>
    <mergeCell ref="G12:J12"/>
    <mergeCell ref="K12:Y12"/>
    <mergeCell ref="Z12:AN12"/>
    <mergeCell ref="AQ12:AT12"/>
    <mergeCell ref="AU12:BC12"/>
    <mergeCell ref="BD12:BF12"/>
    <mergeCell ref="BG12:BT12"/>
    <mergeCell ref="BU12:BY12"/>
    <mergeCell ref="BZ12:CG12"/>
    <mergeCell ref="A13:F13"/>
    <mergeCell ref="G13:J13"/>
    <mergeCell ref="K13:Y13"/>
    <mergeCell ref="Z13:AN13"/>
    <mergeCell ref="AQ13:AT13"/>
    <mergeCell ref="AU13:BC13"/>
    <mergeCell ref="BD13:BF13"/>
    <mergeCell ref="BG13:BT13"/>
    <mergeCell ref="BU13:BY13"/>
    <mergeCell ref="BZ13:CG13"/>
    <mergeCell ref="A14:F14"/>
    <mergeCell ref="G14:J14"/>
    <mergeCell ref="K14:Y14"/>
    <mergeCell ref="Z14:AN14"/>
    <mergeCell ref="AQ14:AT14"/>
    <mergeCell ref="AU14:BC14"/>
    <mergeCell ref="BD14:BF14"/>
    <mergeCell ref="BG14:BT14"/>
    <mergeCell ref="BU14:BY14"/>
    <mergeCell ref="BZ14:CG14"/>
    <mergeCell ref="A15:F15"/>
    <mergeCell ref="G15:J15"/>
    <mergeCell ref="K15:Y15"/>
    <mergeCell ref="Z15:AN15"/>
    <mergeCell ref="AQ15:AT15"/>
    <mergeCell ref="AU15:BC15"/>
    <mergeCell ref="BD15:BF15"/>
    <mergeCell ref="BG15:BT15"/>
    <mergeCell ref="BU15:BY15"/>
    <mergeCell ref="BZ15:CG15"/>
    <mergeCell ref="A16:BC16"/>
    <mergeCell ref="BD16:CG16"/>
    <mergeCell ref="A17:F18"/>
    <mergeCell ref="G17:J18"/>
    <mergeCell ref="K17:Y18"/>
    <mergeCell ref="Z17:AH17"/>
    <mergeCell ref="AI17:AN17"/>
    <mergeCell ref="AO17:AO18"/>
    <mergeCell ref="AP17:AP18"/>
    <mergeCell ref="AQ17:AT18"/>
    <mergeCell ref="AU17:BC18"/>
    <mergeCell ref="BD17:BF18"/>
    <mergeCell ref="BG17:BT18"/>
    <mergeCell ref="BU17:BY18"/>
    <mergeCell ref="BZ17:CG18"/>
    <mergeCell ref="Z18:AH18"/>
    <mergeCell ref="AI18:AN18"/>
    <mergeCell ref="A19:AN19"/>
    <mergeCell ref="AQ19:AT19"/>
    <mergeCell ref="AU19:BC19"/>
    <mergeCell ref="BD19:CG19"/>
    <mergeCell ref="A20:AN20"/>
    <mergeCell ref="AQ20:AT20"/>
    <mergeCell ref="AU20:BC20"/>
    <mergeCell ref="A21:AN21"/>
    <mergeCell ref="AQ21:AT21"/>
    <mergeCell ref="AU21:BC21"/>
    <mergeCell ref="A22:AN22"/>
    <mergeCell ref="AQ22:AT22"/>
    <mergeCell ref="AU22:BC22"/>
    <mergeCell ref="A23:AN23"/>
    <mergeCell ref="AQ23:AT23"/>
    <mergeCell ref="A24:AN24"/>
    <mergeCell ref="AQ24:AT24"/>
    <mergeCell ref="A25:AN25"/>
    <mergeCell ref="AQ25:AT25"/>
    <mergeCell ref="A26:AN26"/>
    <mergeCell ref="AQ26:AT26"/>
    <mergeCell ref="A27:AN27"/>
    <mergeCell ref="AQ27:AT27"/>
    <mergeCell ref="A28:AN28"/>
    <mergeCell ref="AQ28:AT28"/>
    <mergeCell ref="A29:AN29"/>
    <mergeCell ref="AQ29:AT29"/>
    <mergeCell ref="A30:AN30"/>
    <mergeCell ref="AQ30:AT30"/>
    <mergeCell ref="A31:F32"/>
    <mergeCell ref="G31:J32"/>
    <mergeCell ref="K31:Y32"/>
    <mergeCell ref="Z31:AH32"/>
    <mergeCell ref="AI31:AN32"/>
    <mergeCell ref="AO31:AO32"/>
    <mergeCell ref="AP31:AP32"/>
    <mergeCell ref="AQ31:AT32"/>
    <mergeCell ref="AU31:BC32"/>
    <mergeCell ref="BD31:BF32"/>
    <mergeCell ref="BG31:BT32"/>
    <mergeCell ref="BU31:BY32"/>
    <mergeCell ref="BZ31:CG32"/>
    <mergeCell ref="A33:AN33"/>
    <mergeCell ref="AU33:BC33"/>
    <mergeCell ref="BD33:CG33"/>
    <mergeCell ref="A34:F35"/>
    <mergeCell ref="G34:J35"/>
    <mergeCell ref="K34:Y35"/>
    <mergeCell ref="Z34:AN35"/>
    <mergeCell ref="AO34:AO35"/>
    <mergeCell ref="AP34:AP35"/>
    <mergeCell ref="AQ34:AT35"/>
    <mergeCell ref="AU34:BC35"/>
    <mergeCell ref="BD34:BF35"/>
    <mergeCell ref="BG34:BT35"/>
    <mergeCell ref="BU34:BY35"/>
    <mergeCell ref="BZ34:CG35"/>
    <mergeCell ref="A36:F36"/>
    <mergeCell ref="G36:J36"/>
    <mergeCell ref="K36:Y36"/>
    <mergeCell ref="Z36:AN36"/>
    <mergeCell ref="AQ36:AT36"/>
    <mergeCell ref="AU36:BC36"/>
    <mergeCell ref="BD36:BF36"/>
    <mergeCell ref="BG36:BT36"/>
    <mergeCell ref="BU36:BY36"/>
    <mergeCell ref="BZ36:CG36"/>
    <mergeCell ref="A37:F37"/>
    <mergeCell ref="G37:J37"/>
    <mergeCell ref="K37:Y37"/>
    <mergeCell ref="Z37:AN37"/>
    <mergeCell ref="AQ37:AT37"/>
    <mergeCell ref="AU37:BC37"/>
    <mergeCell ref="BD37:BF37"/>
    <mergeCell ref="BG37:BT37"/>
    <mergeCell ref="BU37:BY37"/>
    <mergeCell ref="BZ37:CG37"/>
    <mergeCell ref="A38:F39"/>
    <mergeCell ref="G38:J39"/>
    <mergeCell ref="K38:Y39"/>
    <mergeCell ref="Z38:AN39"/>
    <mergeCell ref="AO38:AO39"/>
    <mergeCell ref="AP38:AP39"/>
    <mergeCell ref="AQ38:AT39"/>
    <mergeCell ref="AU38:BC39"/>
    <mergeCell ref="BD38:BF39"/>
    <mergeCell ref="BG38:BT39"/>
    <mergeCell ref="BU38:BY39"/>
    <mergeCell ref="BZ38:CG39"/>
    <mergeCell ref="A40:F40"/>
    <mergeCell ref="G40:J40"/>
    <mergeCell ref="K40:Y40"/>
    <mergeCell ref="Z40:AN40"/>
    <mergeCell ref="AQ40:AT40"/>
    <mergeCell ref="AU40:BC40"/>
    <mergeCell ref="BD40:BF40"/>
    <mergeCell ref="BG40:BT40"/>
    <mergeCell ref="BU40:BY40"/>
    <mergeCell ref="BZ40:CG40"/>
    <mergeCell ref="A41:F42"/>
    <mergeCell ref="G41:J42"/>
    <mergeCell ref="K41:Y42"/>
    <mergeCell ref="Z41:AN42"/>
    <mergeCell ref="AO41:AO42"/>
    <mergeCell ref="AP41:AP42"/>
    <mergeCell ref="AQ41:AT42"/>
    <mergeCell ref="AU41:BC42"/>
    <mergeCell ref="BD41:BF42"/>
    <mergeCell ref="BG41:BT42"/>
    <mergeCell ref="BU41:BY42"/>
    <mergeCell ref="BZ41:CG42"/>
    <mergeCell ref="A43:BC43"/>
    <mergeCell ref="BD43:CG43"/>
    <mergeCell ref="A44:F45"/>
    <mergeCell ref="G44:J45"/>
    <mergeCell ref="K44:Y45"/>
    <mergeCell ref="Z44:AN45"/>
    <mergeCell ref="AO44:AO45"/>
    <mergeCell ref="AP44:AP45"/>
    <mergeCell ref="AQ44:AT45"/>
    <mergeCell ref="AU44:BC45"/>
    <mergeCell ref="BD44:BF45"/>
    <mergeCell ref="BG44:BT45"/>
    <mergeCell ref="BU44:BY45"/>
    <mergeCell ref="BZ44:CG45"/>
    <mergeCell ref="A46:F47"/>
    <mergeCell ref="G46:J47"/>
    <mergeCell ref="K46:Y47"/>
    <mergeCell ref="Z46:AH47"/>
    <mergeCell ref="AI46:AN47"/>
    <mergeCell ref="AO46:AO47"/>
    <mergeCell ref="AP46:AP47"/>
    <mergeCell ref="AQ46:AT47"/>
    <mergeCell ref="AU46:BC47"/>
    <mergeCell ref="BD46:BF47"/>
    <mergeCell ref="BG46:BT47"/>
    <mergeCell ref="BU46:BY47"/>
    <mergeCell ref="BZ46:CG47"/>
    <mergeCell ref="A48:BC48"/>
    <mergeCell ref="BD48:CG48"/>
    <mergeCell ref="A49:F49"/>
    <mergeCell ref="G49:J49"/>
    <mergeCell ref="K49:Y49"/>
    <mergeCell ref="Z49:AH49"/>
    <mergeCell ref="AI49:AN49"/>
    <mergeCell ref="AO49:AV49"/>
    <mergeCell ref="AW49:BC49"/>
    <mergeCell ref="BD49:BF49"/>
    <mergeCell ref="BG49:BT49"/>
    <mergeCell ref="BU49:BY49"/>
    <mergeCell ref="BZ49:CG49"/>
    <mergeCell ref="A50:F50"/>
    <mergeCell ref="G50:J50"/>
    <mergeCell ref="K50:Y50"/>
    <mergeCell ref="Z50:AN50"/>
    <mergeCell ref="AO50:BC50"/>
    <mergeCell ref="BD50:BT50"/>
    <mergeCell ref="BU50:BY50"/>
    <mergeCell ref="A51:F51"/>
    <mergeCell ref="G51:J51"/>
    <mergeCell ref="K51:Y51"/>
    <mergeCell ref="Z51:AN51"/>
    <mergeCell ref="AO51:BC51"/>
    <mergeCell ref="BD51:BT51"/>
    <mergeCell ref="BU51:BY51"/>
    <mergeCell ref="A52:F52"/>
    <mergeCell ref="G52:J52"/>
    <mergeCell ref="K52:Y52"/>
    <mergeCell ref="Z52:AN52"/>
    <mergeCell ref="AO52:BC52"/>
    <mergeCell ref="BD52:BT52"/>
    <mergeCell ref="BU52:BY52"/>
    <mergeCell ref="A53:F53"/>
    <mergeCell ref="G53:J53"/>
    <mergeCell ref="K53:Y53"/>
    <mergeCell ref="Z53:AN53"/>
    <mergeCell ref="AO53:BC53"/>
    <mergeCell ref="BD53:BT53"/>
    <mergeCell ref="BU53:BY53"/>
    <mergeCell ref="A54:F54"/>
    <mergeCell ref="G54:J54"/>
    <mergeCell ref="K54:Y54"/>
    <mergeCell ref="Z54:AN54"/>
    <mergeCell ref="AO54:BC54"/>
    <mergeCell ref="BD54:BT54"/>
    <mergeCell ref="BU54:BY54"/>
    <mergeCell ref="A55:F55"/>
    <mergeCell ref="G55:J55"/>
    <mergeCell ref="K55:Y55"/>
    <mergeCell ref="Z55:AN55"/>
    <mergeCell ref="AO55:BC55"/>
    <mergeCell ref="BD55:BT55"/>
    <mergeCell ref="BU55:BY55"/>
    <mergeCell ref="A56:F56"/>
    <mergeCell ref="G56:J56"/>
    <mergeCell ref="K56:Y56"/>
    <mergeCell ref="Z56:AN56"/>
    <mergeCell ref="AO56:BC56"/>
    <mergeCell ref="BD56:BT56"/>
    <mergeCell ref="BU56:BY56"/>
    <mergeCell ref="A57:F57"/>
    <mergeCell ref="G57:J57"/>
    <mergeCell ref="K57:Y57"/>
    <mergeCell ref="Z57:AN57"/>
    <mergeCell ref="AO57:BC57"/>
    <mergeCell ref="BD57:BT57"/>
    <mergeCell ref="BU57:BY57"/>
    <mergeCell ref="A58:F58"/>
    <mergeCell ref="G58:J58"/>
    <mergeCell ref="K58:Y58"/>
    <mergeCell ref="Z58:AN58"/>
    <mergeCell ref="AO58:BC58"/>
    <mergeCell ref="BD58:BT58"/>
    <mergeCell ref="BU58:BY58"/>
    <mergeCell ref="A59:F59"/>
    <mergeCell ref="G59:J59"/>
    <mergeCell ref="K59:Y59"/>
    <mergeCell ref="Z59:AN59"/>
    <mergeCell ref="AO59:BC59"/>
    <mergeCell ref="BD59:BT59"/>
    <mergeCell ref="BU59:BY59"/>
    <mergeCell ref="A60:F60"/>
    <mergeCell ref="G60:J60"/>
    <mergeCell ref="K60:Y60"/>
    <mergeCell ref="Z60:AN60"/>
    <mergeCell ref="AO60:BC60"/>
    <mergeCell ref="BD60:BT60"/>
    <mergeCell ref="BU60:BY60"/>
    <mergeCell ref="A61:F61"/>
    <mergeCell ref="G61:J61"/>
    <mergeCell ref="K61:Y61"/>
    <mergeCell ref="Z61:AN61"/>
    <mergeCell ref="AO61:BC61"/>
    <mergeCell ref="BD61:BT61"/>
    <mergeCell ref="BU61:BY61"/>
    <mergeCell ref="A62:F62"/>
    <mergeCell ref="G62:J62"/>
    <mergeCell ref="K62:Y62"/>
    <mergeCell ref="Z62:AN62"/>
    <mergeCell ref="AO62:BC62"/>
    <mergeCell ref="BD62:BT62"/>
    <mergeCell ref="BU62:BY62"/>
    <mergeCell ref="A63:F63"/>
    <mergeCell ref="G63:J63"/>
    <mergeCell ref="K63:Y63"/>
    <mergeCell ref="Z63:AN63"/>
    <mergeCell ref="AO63:BC63"/>
    <mergeCell ref="BD63:BT63"/>
    <mergeCell ref="BU63:BY63"/>
    <mergeCell ref="A64:F64"/>
    <mergeCell ref="G64:J64"/>
    <mergeCell ref="K64:Y64"/>
    <mergeCell ref="Z64:AN64"/>
    <mergeCell ref="AO64:BC64"/>
    <mergeCell ref="BD64:BT64"/>
    <mergeCell ref="BU64:BY64"/>
    <mergeCell ref="A65:F65"/>
    <mergeCell ref="G65:J65"/>
    <mergeCell ref="K65:Y65"/>
    <mergeCell ref="Z65:AN65"/>
    <mergeCell ref="AO65:BC65"/>
    <mergeCell ref="BD65:BT65"/>
    <mergeCell ref="BU65:BY65"/>
    <mergeCell ref="A66:F66"/>
    <mergeCell ref="G66:J66"/>
    <mergeCell ref="K66:Y66"/>
    <mergeCell ref="Z66:AN66"/>
    <mergeCell ref="AO66:BC66"/>
    <mergeCell ref="BD66:BT66"/>
    <mergeCell ref="BU66:BY66"/>
  </mergeCells>
  <conditionalFormatting sqref="G6:J13">
    <cfRule type="cellIs" priority="2" operator="equal" aboveAverage="0" equalAverage="0" bottom="0" percent="0" rank="0" text="" dxfId="0">
      <formula>"İMTİNA"</formula>
    </cfRule>
  </conditionalFormatting>
  <conditionalFormatting sqref="G17:J18">
    <cfRule type="cellIs" priority="3" operator="equal" aboveAverage="0" equalAverage="0" bottom="0" percent="0" rank="0" text="" dxfId="0">
      <formula>"İMTİNA"</formula>
    </cfRule>
  </conditionalFormatting>
  <conditionalFormatting sqref="G15:J15">
    <cfRule type="cellIs" priority="4" operator="equal" aboveAverage="0" equalAverage="0" bottom="0" percent="0" rank="0" text="" dxfId="0">
      <formula>"İMTİNA"</formula>
    </cfRule>
  </conditionalFormatting>
  <conditionalFormatting sqref="G14:J14">
    <cfRule type="cellIs" priority="5" operator="equal" aboveAverage="0" equalAverage="0" bottom="0" percent="0" rank="0" text="" dxfId="0">
      <formula>"İMTİNA"</formula>
    </cfRule>
  </conditionalFormatting>
  <conditionalFormatting sqref="G5:J5">
    <cfRule type="cellIs" priority="6" operator="equal" aboveAverage="0" equalAverage="0" bottom="0" percent="0" rank="0" text="" dxfId="0">
      <formula>"İMTİNA"</formula>
    </cfRule>
  </conditionalFormatting>
  <conditionalFormatting sqref="G37">
    <cfRule type="cellIs" priority="7" operator="equal" aboveAverage="0" equalAverage="0" bottom="0" percent="0" rank="0" text="" dxfId="0">
      <formula>"İMTİNA"</formula>
    </cfRule>
  </conditionalFormatting>
  <conditionalFormatting sqref="G36:J36">
    <cfRule type="cellIs" priority="8" operator="equal" aboveAverage="0" equalAverage="0" bottom="0" percent="0" rank="0" text="" dxfId="0">
      <formula>"İMTİNA"</formula>
    </cfRule>
  </conditionalFormatting>
  <conditionalFormatting sqref="G31:J32">
    <cfRule type="cellIs" priority="9" operator="equal" aboveAverage="0" equalAverage="0" bottom="0" percent="0" rank="0" text="" dxfId="0">
      <formula>"İMTİNA"</formula>
    </cfRule>
  </conditionalFormatting>
  <conditionalFormatting sqref="G40">
    <cfRule type="cellIs" priority="10" operator="equal" aboveAverage="0" equalAverage="0" bottom="0" percent="0" rank="0" text="" dxfId="0">
      <formula>"İMTİNA"</formula>
    </cfRule>
  </conditionalFormatting>
  <conditionalFormatting sqref="G34:J35 G38 G41:J42">
    <cfRule type="cellIs" priority="11" operator="equal" aboveAverage="0" equalAverage="0" bottom="0" percent="0" rank="0" text="" dxfId="0">
      <formula>"İMTİNA"</formula>
    </cfRule>
  </conditionalFormatting>
  <conditionalFormatting sqref="G44 G46 G49:J49">
    <cfRule type="cellIs" priority="12" operator="equal" aboveAverage="0" equalAverage="0" bottom="0" percent="0" rank="0" text="" dxfId="0">
      <formula>"İMTİNA"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customHeight="true" zeroHeight="false" outlineLevelRow="0" outlineLevelCol="0"/>
  <sheetData>
    <row r="2" customFormat="false" ht="14.25" hidden="false" customHeight="true" outlineLevel="0" collapsed="false">
      <c r="A2" s="4" t="s">
        <v>221</v>
      </c>
    </row>
    <row r="3" customFormat="false" ht="14.25" hidden="false" customHeight="true" outlineLevel="0" collapsed="false">
      <c r="A3" s="4" t="s">
        <v>222</v>
      </c>
      <c r="B3" s="4" t="s">
        <v>223</v>
      </c>
    </row>
    <row r="4" customFormat="false" ht="14.25" hidden="false" customHeight="true" outlineLevel="0" collapsed="false">
      <c r="A4" s="4" t="s">
        <v>126</v>
      </c>
      <c r="B4" s="4" t="s">
        <v>125</v>
      </c>
    </row>
    <row r="5" customFormat="false" ht="14.25" hidden="false" customHeight="true" outlineLevel="0" collapsed="false">
      <c r="A5" s="4" t="s">
        <v>173</v>
      </c>
      <c r="B5" s="4" t="s">
        <v>224</v>
      </c>
    </row>
    <row r="6" customFormat="false" ht="14.25" hidden="false" customHeight="true" outlineLevel="0" collapsed="false">
      <c r="A6" s="4" t="s">
        <v>130</v>
      </c>
      <c r="B6" s="4" t="s">
        <v>129</v>
      </c>
    </row>
    <row r="7" customFormat="false" ht="14.25" hidden="false" customHeight="true" outlineLevel="0" collapsed="false">
      <c r="A7" s="4" t="s">
        <v>162</v>
      </c>
      <c r="B7" s="4" t="s">
        <v>225</v>
      </c>
    </row>
    <row r="8" customFormat="false" ht="14.25" hidden="false" customHeight="true" outlineLevel="0" collapsed="false">
      <c r="A8" s="4" t="s">
        <v>53</v>
      </c>
      <c r="B8" s="4" t="s">
        <v>226</v>
      </c>
    </row>
    <row r="9" customFormat="false" ht="14.25" hidden="false" customHeight="true" outlineLevel="0" collapsed="false">
      <c r="A9" s="4" t="s">
        <v>227</v>
      </c>
      <c r="B9" s="4" t="s">
        <v>228</v>
      </c>
    </row>
    <row r="10" customFormat="false" ht="14.25" hidden="false" customHeight="true" outlineLevel="0" collapsed="false">
      <c r="A10" s="4" t="s">
        <v>29</v>
      </c>
      <c r="B10" s="4" t="s">
        <v>27</v>
      </c>
    </row>
    <row r="11" customFormat="false" ht="14.25" hidden="false" customHeight="true" outlineLevel="0" collapsed="false">
      <c r="A11" s="4" t="s">
        <v>37</v>
      </c>
      <c r="B11" s="4" t="s">
        <v>229</v>
      </c>
    </row>
    <row r="12" customFormat="false" ht="14.25" hidden="false" customHeight="true" outlineLevel="0" collapsed="false">
      <c r="A12" s="4" t="s">
        <v>118</v>
      </c>
      <c r="B12" s="4" t="s">
        <v>117</v>
      </c>
    </row>
    <row r="13" customFormat="false" ht="14.25" hidden="false" customHeight="true" outlineLevel="0" collapsed="false">
      <c r="A13" s="4" t="s">
        <v>150</v>
      </c>
      <c r="B13" s="4" t="s">
        <v>230</v>
      </c>
    </row>
    <row r="14" customFormat="false" ht="14.25" hidden="false" customHeight="true" outlineLevel="0" collapsed="false">
      <c r="A14" s="4" t="s">
        <v>67</v>
      </c>
      <c r="B14" s="4" t="s">
        <v>64</v>
      </c>
    </row>
    <row r="15" customFormat="false" ht="14.25" hidden="false" customHeight="true" outlineLevel="0" collapsed="false">
      <c r="A15" s="4" t="s">
        <v>140</v>
      </c>
      <c r="B15" s="4" t="s">
        <v>231</v>
      </c>
    </row>
    <row r="16" customFormat="false" ht="14.25" hidden="false" customHeight="true" outlineLevel="0" collapsed="false">
      <c r="A16" s="4" t="s">
        <v>183</v>
      </c>
      <c r="B16" s="4" t="s">
        <v>232</v>
      </c>
    </row>
    <row r="17" customFormat="false" ht="14.25" hidden="false" customHeight="true" outlineLevel="0" collapsed="false">
      <c r="A17" s="4" t="s">
        <v>167</v>
      </c>
      <c r="B17" s="4" t="s">
        <v>233</v>
      </c>
    </row>
    <row r="18" customFormat="false" ht="14.25" hidden="false" customHeight="true" outlineLevel="0" collapsed="false">
      <c r="A18" s="4" t="s">
        <v>113</v>
      </c>
      <c r="B18" s="4" t="s">
        <v>111</v>
      </c>
    </row>
    <row r="19" customFormat="false" ht="14.25" hidden="false" customHeight="true" outlineLevel="0" collapsed="false">
      <c r="A19" s="4" t="s">
        <v>121</v>
      </c>
      <c r="B19" s="4" t="s">
        <v>120</v>
      </c>
    </row>
    <row r="20" customFormat="false" ht="14.25" hidden="false" customHeight="true" outlineLevel="0" collapsed="false">
      <c r="A20" s="4" t="s">
        <v>45</v>
      </c>
      <c r="B20" s="4" t="s">
        <v>234</v>
      </c>
    </row>
    <row r="21" customFormat="false" ht="14.25" hidden="false" customHeight="true" outlineLevel="0" collapsed="false">
      <c r="A21" s="4" t="s">
        <v>41</v>
      </c>
      <c r="B21" s="4" t="s">
        <v>235</v>
      </c>
    </row>
    <row r="22" customFormat="false" ht="14.25" hidden="false" customHeight="true" outlineLevel="0" collapsed="false">
      <c r="A22" s="4" t="s">
        <v>96</v>
      </c>
      <c r="B22" s="4" t="s">
        <v>236</v>
      </c>
    </row>
    <row r="23" customFormat="false" ht="14.25" hidden="false" customHeight="true" outlineLevel="0" collapsed="false">
      <c r="A23" s="4" t="s">
        <v>237</v>
      </c>
      <c r="B23" s="4" t="s">
        <v>238</v>
      </c>
    </row>
    <row r="24" customFormat="false" ht="14.25" hidden="false" customHeight="true" outlineLevel="0" collapsed="false">
      <c r="A24" s="4" t="s">
        <v>239</v>
      </c>
      <c r="B24" s="4" t="s">
        <v>240</v>
      </c>
    </row>
    <row r="25" customFormat="false" ht="14.25" hidden="false" customHeight="true" outlineLevel="0" collapsed="false">
      <c r="A25" s="4" t="s">
        <v>155</v>
      </c>
      <c r="B25" s="4" t="s">
        <v>152</v>
      </c>
    </row>
    <row r="26" customFormat="false" ht="14.25" hidden="false" customHeight="true" outlineLevel="0" collapsed="false">
      <c r="A26" s="4" t="s">
        <v>61</v>
      </c>
      <c r="B26" s="4" t="s">
        <v>186</v>
      </c>
    </row>
    <row r="27" customFormat="false" ht="14.25" hidden="false" customHeight="true" outlineLevel="0" collapsed="false">
      <c r="A27" s="4" t="s">
        <v>49</v>
      </c>
      <c r="B27" s="4" t="s">
        <v>47</v>
      </c>
    </row>
    <row r="28" customFormat="false" ht="14.25" hidden="false" customHeight="true" outlineLevel="0" collapsed="false">
      <c r="A28" s="4" t="s">
        <v>25</v>
      </c>
      <c r="B28" s="4" t="s">
        <v>241</v>
      </c>
    </row>
    <row r="29" customFormat="false" ht="14.25" hidden="false" customHeight="true" outlineLevel="0" collapsed="false">
      <c r="A29" s="4" t="s">
        <v>145</v>
      </c>
      <c r="B29" s="4" t="s">
        <v>242</v>
      </c>
    </row>
    <row r="30" customFormat="false" ht="14.25" hidden="false" customHeight="true" outlineLevel="0" collapsed="false">
      <c r="A30" s="4" t="s">
        <v>33</v>
      </c>
      <c r="B30" s="4" t="s">
        <v>243</v>
      </c>
    </row>
    <row r="31" customFormat="false" ht="14.25" hidden="false" customHeight="true" outlineLevel="0" collapsed="false">
      <c r="A31" s="4" t="s">
        <v>135</v>
      </c>
      <c r="B31" s="4" t="s">
        <v>134</v>
      </c>
    </row>
    <row r="32" customFormat="false" ht="14.25" hidden="false" customHeight="true" outlineLevel="0" collapsed="false">
      <c r="A32" s="4" t="s">
        <v>109</v>
      </c>
      <c r="B32" s="4" t="s">
        <v>108</v>
      </c>
    </row>
    <row r="33" customFormat="false" ht="14.25" hidden="false" customHeight="true" outlineLevel="0" collapsed="false">
      <c r="A33" s="4" t="s">
        <v>177</v>
      </c>
      <c r="B33" s="4" t="s">
        <v>244</v>
      </c>
    </row>
    <row r="34" customFormat="false" ht="14.25" hidden="false" customHeight="true" outlineLevel="0" collapsed="false">
      <c r="A34" s="4" t="s">
        <v>57</v>
      </c>
      <c r="B34" s="4" t="s">
        <v>245</v>
      </c>
    </row>
    <row r="35" customFormat="false" ht="14.25" hidden="false" customHeight="true" outlineLevel="0" collapsed="false">
      <c r="A35" s="4" t="s">
        <v>103</v>
      </c>
      <c r="B35" s="4" t="s">
        <v>102</v>
      </c>
    </row>
    <row r="36" customFormat="false" ht="14.25" hidden="false" customHeight="true" outlineLevel="0" collapsed="false">
      <c r="A36" s="4" t="s">
        <v>21</v>
      </c>
      <c r="B36" s="4" t="s">
        <v>246</v>
      </c>
    </row>
    <row r="37" customFormat="false" ht="14.25" hidden="false" customHeight="true" outlineLevel="0" collapsed="false">
      <c r="A37" s="4" t="s">
        <v>247</v>
      </c>
      <c r="B37" s="4" t="s">
        <v>248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2025-11-11T08:22:19Z</dcterms:created>
  <dc:creator>Anna Byelkina</dc:creator>
  <dc:description/>
  <dc:language>en-US</dc:language>
  <cp:lastModifiedBy>Zamir Camalov</cp:lastModifiedBy>
  <dcterms:modified xsi:type="dcterms:W3CDTF">2026-04-07T05:36:04Z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